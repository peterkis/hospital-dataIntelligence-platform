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de9aa478c24d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规模假设" sheetId="1" r:id="R1d0969f4ef1e45dc"/>
    <x:sheet xmlns:r="http://schemas.openxmlformats.org/officeDocument/2006/relationships" name="02_服务器规划" sheetId="2" r:id="R760576651821438f"/>
    <x:sheet xmlns:r="http://schemas.openxmlformats.org/officeDocument/2006/relationships" name="03_组件选型" sheetId="3" r:id="R6660a3d678df45c6"/>
    <x:sheet xmlns:r="http://schemas.openxmlformats.org/officeDocument/2006/relationships" name="04_HA_RTO_RPO" sheetId="4" r:id="Rd4f2a474473248df"/>
    <x:sheet xmlns:r="http://schemas.openxmlformats.org/officeDocument/2006/relationships" name="05_数据库表目录" sheetId="5" r:id="Rf4bf34143b7b41cd"/>
    <x:sheet xmlns:r="http://schemas.openxmlformats.org/officeDocument/2006/relationships" name="06_API目录" sheetId="6" r:id="Rde335d24c891440b"/>
    <x:sheet xmlns:r="http://schemas.openxmlformats.org/officeDocument/2006/relationships" name="07_Topic目录" sheetId="7" r:id="R350f77722af84cb8"/>
    <x:sheet xmlns:r="http://schemas.openxmlformats.org/officeDocument/2006/relationships" name="08_质量规则" sheetId="8" r:id="Ra3d9b181b3c44dcf"/>
    <x:sheet xmlns:r="http://schemas.openxmlformats.org/officeDocument/2006/relationships" name="09_RACI" sheetId="9" r:id="Rc498a6948c8847d9"/>
    <x:sheet xmlns:r="http://schemas.openxmlformats.org/officeDocument/2006/relationships" name="10_失败案例复盘" sheetId="10" r:id="R2f1cb9e81fb94e28"/>
    <x:sheet xmlns:r="http://schemas.openxmlformats.org/officeDocument/2006/relationships" name="11_验收测试" sheetId="11" r:id="R6a1c42b3e28b4498"/>
    <x:sheet xmlns:r="http://schemas.openxmlformats.org/officeDocument/2006/relationships" name="12_源系统接入模板" sheetId="12" r:id="Rf4f27958db754399"/>
    <x:sheet xmlns:r="http://schemas.openxmlformats.org/officeDocument/2006/relationships" name="00_总览" sheetId="13" r:id="Rb990ea0624574c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#,##0.00"/>
  </x:numFmts>
  <x:fonts count="7">
    <x:font>
      <x:sz val="11"/>
      <x:name val="Carlito"/>
    </x:font>
    <x:font>
      <x:b/>
      <x:sz val="16"/>
      <x:color rgb="FFFFFFFF"/>
      <x:name val="Carlito"/>
    </x:font>
    <x:font>
      <x:sz val="11"/>
      <x:color rgb="FF7F6000"/>
      <x:name val="Carlito"/>
    </x:font>
    <x:font>
      <x:b/>
      <x:sz val="11"/>
      <x:color rgb="FFFFFFFF"/>
      <x:name val="Carlito"/>
    </x:font>
    <x:font>
      <x:b/>
      <x:sz val="10"/>
      <x:color rgb="FFFFFFFF"/>
      <x:name val="Noto Sans CJK SC"/>
    </x:font>
    <x:font>
      <x:sz val="10"/>
      <x:name val="Noto Sans CJK SC"/>
    </x:font>
    <x:font>
      <x:sz val="10"/>
      <x:color rgb="FF7F6000"/>
      <x:name val="Noto Sans CJK SC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3" borderId="8" xfId="0" applyNumberFormat="1" applyFont="1" applyFill="1" applyBorder="1"/>
    <x:xf numFmtId="0" fontId="0" fillId="0" borderId="9" xfId="0" applyNumberFormat="1" applyFont="1" applyFill="1" applyBorder="1"/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3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3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3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0" fontId="0" fillId="3" borderId="8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3" borderId="1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200" fontId="0" fillId="3" borderId="16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8" xfId="0" applyNumberFormat="1" applyFont="1" applyFill="1" applyBorder="1"/>
    <x:xf numFmtId="201" fontId="0" fillId="0" borderId="1" xfId="0" applyNumberFormat="1" applyFont="1" applyFill="1" applyBorder="1"/>
    <x:xf numFmtId="201" fontId="0" fillId="0" borderId="16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0" fillId="0" borderId="16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 applyAlignment="1">
      <x:alignment horizontal="center" vertical="center"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0" fontId="5" fillId="3" borderId="0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201" fontId="5" fillId="0" borderId="8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200" fontId="5" fillId="0" borderId="8" xfId="0" applyNumberFormat="1" applyFont="1" applyFill="1" applyBorder="1" applyAlignment="1">
      <x:alignment wrapText="1"/>
    </x:xf>
    <x:xf numFmtId="200" fontId="5" fillId="3" borderId="8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left" vertical="center"/>
    </x:xf>
    <x:xf numFmtId="0" fontId="5" fillId="0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4" fillId="4" borderId="10" xfId="0" applyNumberFormat="1" applyFont="1" applyFill="1" applyBorder="1" applyAlignment="1">
      <x:alignment horizontal="center" vertical="center" wrapText="1"/>
    </x:xf>
    <x:xf numFmtId="0" fontId="4" fillId="4" borderId="11" xfId="0" applyNumberFormat="1" applyFont="1" applyFill="1" applyBorder="1" applyAlignment="1">
      <x:alignment horizontal="center" vertical="center" wrapText="1"/>
    </x:xf>
    <x:xf numFmtId="0" fontId="4" fillId="4" borderId="12" xfId="0" applyNumberFormat="1" applyFont="1" applyFill="1" applyBorder="1" applyAlignment="1">
      <x:alignment horizontal="center" vertical="center" wrapText="1"/>
    </x:xf>
    <x:xf numFmtId="0" fontId="5" fillId="0" borderId="13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  <x:xf numFmtId="200" fontId="5" fillId="3" borderId="1" xfId="0" applyNumberFormat="1" applyFont="1" applyFill="1" applyBorder="1" applyAlignment="1">
      <x:alignment wrapText="1"/>
    </x:xf>
    <x:xf numFmtId="0" fontId="5" fillId="0" borderId="14" xfId="0" applyNumberFormat="1" applyFont="1" applyFill="1" applyBorder="1" applyAlignment="1">
      <x:alignment wrapText="1"/>
    </x:xf>
    <x:xf numFmtId="201" fontId="5" fillId="0" borderId="1" xfId="0" applyNumberFormat="1" applyFont="1" applyFill="1" applyBorder="1" applyAlignment="1">
      <x:alignment wrapText="1"/>
    </x:xf>
    <x:xf numFmtId="0" fontId="5" fillId="0" borderId="15" xfId="0" applyNumberFormat="1" applyFont="1" applyFill="1" applyBorder="1" applyAlignment="1">
      <x:alignment wrapText="1"/>
    </x:xf>
    <x:xf numFmtId="201" fontId="5" fillId="0" borderId="16" xfId="0" applyNumberFormat="1" applyFont="1" applyFill="1" applyBorder="1" applyAlignment="1">
      <x:alignment wrapText="1"/>
    </x:xf>
    <x:xf numFmtId="0" fontId="5" fillId="0" borderId="16" xfId="0" applyNumberFormat="1" applyFont="1" applyFill="1" applyBorder="1" applyAlignment="1">
      <x:alignment wrapText="1"/>
    </x:xf>
    <x:xf numFmtId="0" fontId="5" fillId="0" borderId="17" xfId="0" applyNumberFormat="1" applyFont="1" applyFill="1" applyBorder="1" applyAlignment="1">
      <x:alignment wrapText="1"/>
    </x:xf>
    <x:xf numFmtId="200" fontId="5" fillId="0" borderId="16" xfId="0" applyNumberFormat="1" applyFont="1" applyFill="1" applyBorder="1" applyAlignment="1">
      <x:alignment wrapText="1"/>
    </x:xf>
    <x:xf numFmtId="200" fontId="5" fillId="3" borderId="16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 wrapText="1"/>
    </x:xf>
    <x:xf numFmtId="0" fontId="5" fillId="0" borderId="7" xfId="0" applyNumberFormat="1" applyFont="1" applyFill="1" applyBorder="1" applyAlignment="1">
      <x:alignment vertical="center" wrapText="1"/>
    </x:xf>
    <x:xf numFmtId="201" fontId="5" fillId="0" borderId="8" xfId="0" applyNumberFormat="1" applyFont="1" applyFill="1" applyBorder="1" applyAlignment="1">
      <x:alignment vertical="center" wrapText="1"/>
    </x:xf>
    <x:xf numFmtId="0" fontId="5" fillId="0" borderId="8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200" fontId="5" fillId="0" borderId="8" xfId="0" applyNumberFormat="1" applyFont="1" applyFill="1" applyBorder="1" applyAlignment="1">
      <x:alignment vertical="center" wrapText="1"/>
    </x:xf>
    <x:xf numFmtId="200" fontId="5" fillId="3" borderId="8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 applyAlignment="1">
      <x:alignment vertical="center" wrapText="1"/>
    </x:xf>
    <x:xf numFmtId="0" fontId="5" fillId="0" borderId="13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200" fontId="5" fillId="0" borderId="1" xfId="0" applyNumberFormat="1" applyFont="1" applyFill="1" applyBorder="1" applyAlignment="1">
      <x:alignment vertical="center" wrapText="1"/>
    </x:xf>
    <x:xf numFmtId="200" fontId="5" fillId="3" borderId="1" xfId="0" applyNumberFormat="1" applyFont="1" applyFill="1" applyBorder="1" applyAlignment="1">
      <x:alignment vertical="center" wrapText="1"/>
    </x:xf>
    <x:xf numFmtId="0" fontId="5" fillId="0" borderId="14" xfId="0" applyNumberFormat="1" applyFont="1" applyFill="1" applyBorder="1" applyAlignment="1">
      <x:alignment vertical="center" wrapText="1"/>
    </x:xf>
    <x:xf numFmtId="201" fontId="5" fillId="0" borderId="1" xfId="0" applyNumberFormat="1" applyFont="1" applyFill="1" applyBorder="1" applyAlignment="1">
      <x:alignment vertical="center" wrapText="1"/>
    </x:xf>
    <x:xf numFmtId="0" fontId="5" fillId="0" borderId="15" xfId="0" applyNumberFormat="1" applyFont="1" applyFill="1" applyBorder="1" applyAlignment="1">
      <x:alignment vertical="center" wrapText="1"/>
    </x:xf>
    <x:xf numFmtId="201" fontId="5" fillId="0" borderId="16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7" xfId="0" applyNumberFormat="1" applyFont="1" applyFill="1" applyBorder="1" applyAlignment="1">
      <x:alignment vertical="center" wrapText="1"/>
    </x:xf>
    <x:xf numFmtId="200" fontId="5" fillId="0" borderId="16" xfId="0" applyNumberFormat="1" applyFont="1" applyFill="1" applyBorder="1" applyAlignment="1">
      <x:alignment vertical="center" wrapText="1"/>
    </x:xf>
    <x:xf numFmtId="200" fontId="5" fillId="3" borderId="16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/>
    <x:xf numFmtId="201" fontId="5" fillId="0" borderId="0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201" fontId="5" fillId="0" borderId="8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3" xfId="0" applyNumberFormat="1" applyFont="1" applyFill="1" applyBorder="1"/>
    <x:xf numFmtId="201" fontId="5" fillId="0" borderId="1" xfId="0" applyNumberFormat="1" applyFont="1" applyFill="1" applyBorder="1"/>
    <x:xf numFmtId="0" fontId="5" fillId="0" borderId="14" xfId="0" applyNumberFormat="1" applyFont="1" applyFill="1" applyBorder="1"/>
    <x:xf numFmtId="0" fontId="5" fillId="0" borderId="15" xfId="0" applyNumberFormat="1" applyFont="1" applyFill="1" applyBorder="1"/>
    <x:xf numFmtId="201" fontId="5" fillId="0" borderId="16" xfId="0" applyNumberFormat="1" applyFont="1" applyFill="1" applyBorder="1"/>
    <x:xf numFmtId="0" fontId="5" fillId="0" borderId="16" xfId="0" applyNumberFormat="1" applyFont="1" applyFill="1" applyBorder="1"/>
    <x:xf numFmtId="0" fontId="5" fillId="0" borderId="17" xfId="0" applyNumberFormat="1" applyFont="1" applyFill="1" applyBorder="1"/>
    <x:xf numFmtId="0" fontId="5" fillId="0" borderId="5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201" fontId="5" fillId="0" borderId="8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ont>
        <x:b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f321211f2542e3" /><Relationship Type="http://schemas.openxmlformats.org/officeDocument/2006/relationships/theme" Target="/xl/theme/theme1.xml" Id="R33ff5755b9114949" /><Relationship Type="http://schemas.openxmlformats.org/officeDocument/2006/relationships/sharedStrings" Target="/xl/sharedStrings.xml" Id="Re8f6a9ad38ba40ac" /><Relationship Type="http://schemas.openxmlformats.org/officeDocument/2006/relationships/worksheet" Target="/xl/worksheets/sheet1.xml" Id="R1d0969f4ef1e45dc" /><Relationship Type="http://schemas.openxmlformats.org/officeDocument/2006/relationships/worksheet" Target="/xl/worksheets/sheet2.xml" Id="R760576651821438f" /><Relationship Type="http://schemas.openxmlformats.org/officeDocument/2006/relationships/worksheet" Target="/xl/worksheets/sheet3.xml" Id="R6660a3d678df45c6" /><Relationship Type="http://schemas.openxmlformats.org/officeDocument/2006/relationships/worksheet" Target="/xl/worksheets/sheet4.xml" Id="Rd4f2a474473248df" /><Relationship Type="http://schemas.openxmlformats.org/officeDocument/2006/relationships/worksheet" Target="/xl/worksheets/sheet5.xml" Id="Rf4bf34143b7b41cd" /><Relationship Type="http://schemas.openxmlformats.org/officeDocument/2006/relationships/worksheet" Target="/xl/worksheets/sheet6.xml" Id="Rde335d24c891440b" /><Relationship Type="http://schemas.openxmlformats.org/officeDocument/2006/relationships/worksheet" Target="/xl/worksheets/sheet7.xml" Id="R350f77722af84cb8" /><Relationship Type="http://schemas.openxmlformats.org/officeDocument/2006/relationships/worksheet" Target="/xl/worksheets/sheet8.xml" Id="Ra3d9b181b3c44dcf" /><Relationship Type="http://schemas.openxmlformats.org/officeDocument/2006/relationships/worksheet" Target="/xl/worksheets/sheet9.xml" Id="Rc498a6948c8847d9" /><Relationship Type="http://schemas.openxmlformats.org/officeDocument/2006/relationships/worksheet" Target="/xl/worksheets/sheet10.xml" Id="R2f1cb9e81fb94e28" /><Relationship Type="http://schemas.openxmlformats.org/officeDocument/2006/relationships/worksheet" Target="/xl/worksheets/sheet11.xml" Id="R6a1c42b3e28b4498" /><Relationship Type="http://schemas.openxmlformats.org/officeDocument/2006/relationships/worksheet" Target="/xl/worksheets/sheet12.xml" Id="Rf4f27958db754399" /><Relationship Type="http://schemas.openxmlformats.org/officeDocument/2006/relationships/worksheet" Target="/xl/worksheets/sheet13.xml" Id="Rb990ea0624574c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4" hidden="0" customWidth="1"/>
    <x:col min="3" max="3" width="7.5" hidden="0" customWidth="1"/>
    <x:col min="4" max="4" width="7.5" hidden="0" customWidth="1"/>
    <x:col min="5" max="5" width="7.880000114440918" hidden="0" customWidth="1"/>
    <x:col min="6" max="6" width="11.5" hidden="0" customWidth="1"/>
    <x:col min="7" max="7" width="40" hidden="0" customWidth="1"/>
    <x:col min="9" max="9" width="26" hidden="0" customWidth="1"/>
    <x:col min="10" max="10" width="18" hidden="0" customWidth="1"/>
    <x:col min="11" max="11" width="12" hidden="0" customWidth="1"/>
    <x:col min="12" max="12" width="36" hidden="0" customWidth="1"/>
  </x:cols>
  <x:sheetData>
    <x:row r="1" ht="28" customHeight="1">
      <x:c r="A1" s="77" t="str">
        <x:v>大型综合三甲医院数据治理平台规模与容量假设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113"/>
      <x:c r="N1" s="113"/>
      <x:c r="O1" s="113"/>
    </x:row>
    <x:row r="2" ht="24" customHeight="1">
      <x:c r="A2" s="114" t="str">
        <x:v>黄色单元格为可编辑输入；容量结果用于方案比选和招标基线，实际采购前须用真实日增量、峰值日志与并发压测校准。</x:v>
      </x:c>
      <x:c r="B2" s="114"/>
      <x:c r="C2" s="114"/>
      <x:c r="D2" s="114"/>
      <x:c r="E2" s="114"/>
      <x:c r="F2" s="114"/>
      <x:c r="G2" s="114"/>
      <x:c r="H2" s="114"/>
      <x:c r="I2" s="114"/>
      <x:c r="J2" s="114"/>
      <x:c r="K2" s="114"/>
      <x:c r="L2" s="114"/>
      <x:c r="M2" s="113"/>
      <x:c r="N2" s="113"/>
      <x:c r="O2" s="113"/>
    </x:row>
    <x:row r="3" ht="24" customHeight="1">
      <x:c r="A3" s="114"/>
      <x:c r="B3" s="114"/>
      <x:c r="C3" s="114"/>
      <x:c r="D3" s="114"/>
      <x:c r="E3" s="114"/>
      <x:c r="F3" s="114"/>
      <x:c r="G3" s="114"/>
      <x:c r="H3" s="114"/>
      <x:c r="I3" s="114"/>
      <x:c r="J3" s="114"/>
      <x:c r="K3" s="114"/>
      <x:c r="L3" s="114"/>
      <x:c r="M3" s="113"/>
      <x:c r="N3" s="113"/>
      <x:c r="O3" s="113"/>
    </x:row>
    <x:row r="4">
      <x:c r="A4" s="113"/>
      <x:c r="B4" s="113"/>
      <x:c r="C4" s="113"/>
      <x:c r="D4" s="113"/>
      <x:c r="E4" s="113"/>
      <x:c r="F4" s="113"/>
      <x:c r="G4" s="113"/>
      <x:c r="H4" s="113"/>
      <x:c r="I4" s="113"/>
      <x:c r="J4" s="113"/>
      <x:c r="K4" s="113"/>
      <x:c r="L4" s="113"/>
      <x:c r="M4" s="113"/>
      <x:c r="N4" s="113"/>
      <x:c r="O4" s="113"/>
    </x:row>
    <x:row r="5">
      <x:c r="A5" s="80" t="str">
        <x:v>参数</x:v>
      </x:c>
      <x:c r="B5" s="81" t="str">
        <x:v>单位</x:v>
      </x:c>
      <x:c r="C5" s="81" t="str">
        <x:v>基准值</x:v>
      </x:c>
      <x:c r="D5" s="81" t="str">
        <x:v>保守值</x:v>
      </x:c>
      <x:c r="E5" s="81" t="str">
        <x:v>高负载值</x:v>
      </x:c>
      <x:c r="F5" s="81" t="str">
        <x:v>本项目采用值</x:v>
      </x:c>
      <x:c r="G5" s="82" t="str">
        <x:v>说明</x:v>
      </x:c>
      <x:c r="H5" s="113"/>
      <x:c r="I5" s="80" t="str">
        <x:v>容量结果</x:v>
      </x:c>
      <x:c r="J5" s="81" t="str">
        <x:v>公式/值</x:v>
      </x:c>
      <x:c r="K5" s="81" t="str">
        <x:v>单位</x:v>
      </x:c>
      <x:c r="L5" s="82" t="str">
        <x:v>说明</x:v>
      </x:c>
      <x:c r="M5" s="113"/>
      <x:c r="N5" s="113"/>
      <x:c r="O5" s="113"/>
    </x:row>
    <x:row r="6">
      <x:c r="A6" s="115" t="str">
        <x:v>院区数量</x:v>
      </x:c>
      <x:c r="B6" s="116" t="str">
        <x:v>个</x:v>
      </x:c>
      <x:c r="C6" s="117" t="n">
        <x:v>3</x:v>
      </x:c>
      <x:c r="D6" s="117" t="n">
        <x:v>3</x:v>
      </x:c>
      <x:c r="E6" s="117" t="n">
        <x:v>5</x:v>
      </x:c>
      <x:c r="F6" s="118" t="n">
        <x:v>3</x:v>
      </x:c>
      <x:c r="G6" s="119" t="str">
        <x:v>一院多区综合医院</x:v>
      </x:c>
      <x:c r="H6" s="113"/>
      <x:c r="I6" s="115" t="str">
        <x:v>5年结构化原始量</x:v>
      </x:c>
      <x:c r="J6" s="120" t="n">
        <x:f>F11*365*F17/1024</x:f>
        <x:v>320.80078125</x:v>
      </x:c>
      <x:c r="K6" s="116" t="str">
        <x:v>TB</x:v>
      </x:c>
      <x:c r="L6" s="119" t="str">
        <x:v>日增量×365×年限</x:v>
      </x:c>
      <x:c r="M6" s="113"/>
      <x:c r="N6" s="113"/>
      <x:c r="O6" s="113"/>
    </x:row>
    <x:row r="7">
      <x:c r="A7" s="115" t="str">
        <x:v>开放床位</x:v>
      </x:c>
      <x:c r="B7" s="116" t="str">
        <x:v>张</x:v>
      </x:c>
      <x:c r="C7" s="117" t="n">
        <x:v>3500</x:v>
      </x:c>
      <x:c r="D7" s="117" t="n">
        <x:v>3000</x:v>
      </x:c>
      <x:c r="E7" s="117" t="n">
        <x:v>5000</x:v>
      </x:c>
      <x:c r="F7" s="118" t="n">
        <x:v>3500</x:v>
      </x:c>
      <x:c r="G7" s="119" t="str">
        <x:v>含重症、急诊留观等</x:v>
      </x:c>
      <x:c r="H7" s="113"/>
      <x:c r="I7" s="115" t="str">
        <x:v>5年结构化压缩量</x:v>
      </x:c>
      <x:c r="J7" s="120" t="n">
        <x:f>J6*F20</x:f>
        <x:v>176.44042968750003</x:v>
      </x:c>
      <x:c r="K7" s="116" t="str">
        <x:v>TB</x:v>
      </x:c>
      <x:c r="L7" s="119" t="str">
        <x:v>压缩后湖仓数据</x:v>
      </x:c>
      <x:c r="M7" s="113"/>
      <x:c r="N7" s="113"/>
      <x:c r="O7" s="113"/>
    </x:row>
    <x:row r="8">
      <x:c r="A8" s="115" t="str">
        <x:v>年门急诊量</x:v>
      </x:c>
      <x:c r="B8" s="116" t="str">
        <x:v>万人次</x:v>
      </x:c>
      <x:c r="C8" s="117" t="n">
        <x:v>900</x:v>
      </x:c>
      <x:c r="D8" s="117" t="n">
        <x:v>700</x:v>
      </x:c>
      <x:c r="E8" s="117" t="n">
        <x:v>1200</x:v>
      </x:c>
      <x:c r="F8" s="118" t="n">
        <x:v>900</x:v>
      </x:c>
      <x:c r="G8" s="119" t="str">
        <x:v>影响患者/就诊/医嘱吞吐</x:v>
      </x:c>
      <x:c r="H8" s="113"/>
      <x:c r="I8" s="115" t="str">
        <x:v>5年日志审计量</x:v>
      </x:c>
      <x:c r="J8" s="120" t="n">
        <x:f>F12*365*F17/1024</x:f>
        <x:v>213.8671875</x:v>
      </x:c>
      <x:c r="K8" s="116" t="str">
        <x:v>TB</x:v>
      </x:c>
      <x:c r="L8" s="119" t="str">
        <x:v>不含副本</x:v>
      </x:c>
      <x:c r="M8" s="113"/>
      <x:c r="N8" s="113"/>
      <x:c r="O8" s="113"/>
    </x:row>
    <x:row r="9">
      <x:c r="A9" s="115" t="str">
        <x:v>年出院量</x:v>
      </x:c>
      <x:c r="B9" s="116" t="str">
        <x:v>万人次</x:v>
      </x:c>
      <x:c r="C9" s="117" t="n">
        <x:v>24</x:v>
      </x:c>
      <x:c r="D9" s="117" t="n">
        <x:v>18</x:v>
      </x:c>
      <x:c r="E9" s="117" t="n">
        <x:v>35</x:v>
      </x:c>
      <x:c r="F9" s="118" t="n">
        <x:v>24</x:v>
      </x:c>
      <x:c r="G9" s="119" t="str">
        <x:v>影响住院CDR与病案</x:v>
      </x:c>
      <x:c r="H9" s="113"/>
      <x:c r="I9" s="115" t="str">
        <x:v>5年对象派生量</x:v>
      </x:c>
      <x:c r="J9" s="120" t="n">
        <x:f>F13*365*F17/1024</x:f>
        <x:v>623.779296875</x:v>
      </x:c>
      <x:c r="K9" s="116" t="str">
        <x:v>TB</x:v>
      </x:c>
      <x:c r="L9" s="119" t="str">
        <x:v>选配</x:v>
      </x:c>
      <x:c r="M9" s="113"/>
      <x:c r="N9" s="113"/>
      <x:c r="O9" s="113"/>
    </x:row>
    <x:row r="10">
      <x:c r="A10" s="115" t="str">
        <x:v>源系统数量</x:v>
      </x:c>
      <x:c r="B10" s="116" t="str">
        <x:v>套</x:v>
      </x:c>
      <x:c r="C10" s="117" t="n">
        <x:v>180</x:v>
      </x:c>
      <x:c r="D10" s="117" t="n">
        <x:v>150</x:v>
      </x:c>
      <x:c r="E10" s="117" t="n">
        <x:v>300</x:v>
      </x:c>
      <x:c r="F10" s="118" t="n">
        <x:v>180</x:v>
      </x:c>
      <x:c r="G10" s="119" t="str">
        <x:v>核心与专科系统合计</x:v>
      </x:c>
      <x:c r="H10" s="113"/>
      <x:c r="I10" s="115" t="str">
        <x:v>建议可用对象容量</x:v>
      </x:c>
      <x:c r="J10" s="120" t="n">
        <x:f>(J7+J8+J9)*F18</x:f>
        <x:v>1369.017333984375</x:v>
      </x:c>
      <x:c r="K10" s="116" t="str">
        <x:v>TB</x:v>
      </x:c>
      <x:c r="L10" s="119" t="str">
        <x:v>含冗余增长</x:v>
      </x:c>
      <x:c r="M10" s="113"/>
      <x:c r="N10" s="113"/>
      <x:c r="O10" s="113"/>
    </x:row>
    <x:row r="11">
      <x:c r="A11" s="115" t="str">
        <x:v>结构化数据日增量</x:v>
      </x:c>
      <x:c r="B11" s="116" t="str">
        <x:v>GB/日</x:v>
      </x:c>
      <x:c r="C11" s="117" t="n">
        <x:v>180</x:v>
      </x:c>
      <x:c r="D11" s="117" t="n">
        <x:v>120</x:v>
      </x:c>
      <x:c r="E11" s="117" t="n">
        <x:v>300</x:v>
      </x:c>
      <x:c r="F11" s="118" t="n">
        <x:v>180</x:v>
      </x:c>
      <x:c r="G11" s="119" t="str">
        <x:v>不含原始DICOM像素</x:v>
      </x:c>
      <x:c r="H11" s="113"/>
      <x:c r="I11" s="115" t="str">
        <x:v>建议原始对象容量</x:v>
      </x:c>
      <x:c r="J11" s="120" t="n">
        <x:f>J10/F19</x:f>
        <x:v>2043.3094537080224</x:v>
      </x:c>
      <x:c r="K11" s="116" t="str">
        <x:v>TB</x:v>
      </x:c>
      <x:c r="L11" s="119" t="str">
        <x:v>折算EC/副本/预留</x:v>
      </x:c>
      <x:c r="M11" s="113"/>
      <x:c r="N11" s="113"/>
      <x:c r="O11" s="113"/>
    </x:row>
    <x:row r="12">
      <x:c r="A12" s="115" t="str">
        <x:v>日志与审计日增量</x:v>
      </x:c>
      <x:c r="B12" s="116" t="str">
        <x:v>GB/日</x:v>
      </x:c>
      <x:c r="C12" s="117" t="n">
        <x:v>120</x:v>
      </x:c>
      <x:c r="D12" s="117" t="n">
        <x:v>80</x:v>
      </x:c>
      <x:c r="E12" s="117" t="n">
        <x:v>250</x:v>
      </x:c>
      <x:c r="F12" s="118" t="n">
        <x:v>120</x:v>
      </x:c>
      <x:c r="G12" s="119" t="str">
        <x:v>接口、审计、检索日志</x:v>
      </x:c>
      <x:c r="H12" s="113"/>
      <x:c r="I12" s="115" t="str">
        <x:v>Kafka单日峰值消息数</x:v>
      </x:c>
      <x:c r="J12" s="120" t="n">
        <x:f>F14*86400</x:f>
        <x:v>2592000000</x:v>
      </x:c>
      <x:c r="K12" s="116" t="str">
        <x:v>条</x:v>
      </x:c>
      <x:c r="L12" s="119" t="str">
        <x:v>峰值全日持续的上限参考</x:v>
      </x:c>
      <x:c r="M12" s="113"/>
      <x:c r="N12" s="113"/>
      <x:c r="O12" s="113"/>
    </x:row>
    <x:row r="13">
      <x:c r="A13" s="115" t="str">
        <x:v>对象/影像AI派生数据日增量</x:v>
      </x:c>
      <x:c r="B13" s="116" t="str">
        <x:v>GB/日</x:v>
      </x:c>
      <x:c r="C13" s="117" t="n">
        <x:v>350</x:v>
      </x:c>
      <x:c r="D13" s="117" t="n">
        <x:v>150</x:v>
      </x:c>
      <x:c r="E13" s="117" t="n">
        <x:v>1200</x:v>
      </x:c>
      <x:c r="F13" s="118" t="n">
        <x:v>350</x:v>
      </x:c>
      <x:c r="G13" s="119" t="str">
        <x:v>选配；不等于PACS全量归档</x:v>
      </x:c>
      <x:c r="H13" s="113"/>
      <x:c r="I13" s="121" t="str">
        <x:v>API月请求上限参考</x:v>
      </x:c>
      <x:c r="J13" s="122" t="n">
        <x:f>F15*86400*30</x:f>
        <x:v>7776000000</x:v>
      </x:c>
      <x:c r="K13" s="123" t="str">
        <x:v>次</x:v>
      </x:c>
      <x:c r="L13" s="124" t="str">
        <x:v>峰值全月持续上限，实际远低</x:v>
      </x:c>
      <x:c r="M13" s="113"/>
      <x:c r="N13" s="113"/>
      <x:c r="O13" s="113"/>
    </x:row>
    <x:row r="14">
      <x:c r="A14" s="115" t="str">
        <x:v>CDC峰值事件</x:v>
      </x:c>
      <x:c r="B14" s="116" t="str">
        <x:v>条/秒</x:v>
      </x:c>
      <x:c r="C14" s="117" t="n">
        <x:v>30000</x:v>
      </x:c>
      <x:c r="D14" s="117" t="n">
        <x:v>20000</x:v>
      </x:c>
      <x:c r="E14" s="117" t="n">
        <x:v>50000</x:v>
      </x:c>
      <x:c r="F14" s="118" t="n">
        <x:v>30000</x:v>
      </x:c>
      <x:c r="G14" s="119" t="str">
        <x:v>高峰短时峰值</x:v>
      </x:c>
      <x:c r="H14" s="113"/>
      <x:c r="I14" s="113"/>
      <x:c r="J14" s="113"/>
      <x:c r="K14" s="113"/>
      <x:c r="L14" s="113"/>
      <x:c r="M14" s="113"/>
      <x:c r="N14" s="113"/>
      <x:c r="O14" s="113"/>
    </x:row>
    <x:row r="15">
      <x:c r="A15" s="115" t="str">
        <x:v>API峰值QPS</x:v>
      </x:c>
      <x:c r="B15" s="116" t="str">
        <x:v>QPS</x:v>
      </x:c>
      <x:c r="C15" s="117" t="n">
        <x:v>3000</x:v>
      </x:c>
      <x:c r="D15" s="117" t="n">
        <x:v>2000</x:v>
      </x:c>
      <x:c r="E15" s="117" t="n">
        <x:v>5000</x:v>
      </x:c>
      <x:c r="F15" s="118" t="n">
        <x:v>3000</x:v>
      </x:c>
      <x:c r="G15" s="119" t="str">
        <x:v>查询+注册校验</x:v>
      </x:c>
      <x:c r="H15" s="113"/>
      <x:c r="I15" s="113"/>
      <x:c r="J15" s="113"/>
      <x:c r="K15" s="113"/>
      <x:c r="L15" s="113"/>
      <x:c r="M15" s="113"/>
      <x:c r="N15" s="113"/>
      <x:c r="O15" s="113"/>
    </x:row>
    <x:row r="16">
      <x:c r="A16" s="115" t="str">
        <x:v>在线用户并发</x:v>
      </x:c>
      <x:c r="B16" s="116" t="str">
        <x:v>人</x:v>
      </x:c>
      <x:c r="C16" s="117" t="n">
        <x:v>800</x:v>
      </x:c>
      <x:c r="D16" s="117" t="n">
        <x:v>500</x:v>
      </x:c>
      <x:c r="E16" s="117" t="n">
        <x:v>1500</x:v>
      </x:c>
      <x:c r="F16" s="118" t="n">
        <x:v>800</x:v>
      </x:c>
      <x:c r="G16" s="119" t="str">
        <x:v>治理、目录、科研、运营用户</x:v>
      </x:c>
      <x:c r="H16" s="113"/>
      <x:c r="I16" s="113"/>
      <x:c r="J16" s="113"/>
      <x:c r="K16" s="113"/>
      <x:c r="L16" s="113"/>
      <x:c r="M16" s="113"/>
      <x:c r="N16" s="113"/>
      <x:c r="O16" s="113"/>
    </x:row>
    <x:row r="17">
      <x:c r="A17" s="115" t="str">
        <x:v>容量规划年限</x:v>
      </x:c>
      <x:c r="B17" s="116" t="str">
        <x:v>年</x:v>
      </x:c>
      <x:c r="C17" s="117" t="n">
        <x:v>5</x:v>
      </x:c>
      <x:c r="D17" s="117" t="n">
        <x:v>3</x:v>
      </x:c>
      <x:c r="E17" s="117" t="n">
        <x:v>7</x:v>
      </x:c>
      <x:c r="F17" s="118" t="n">
        <x:v>5</x:v>
      </x:c>
      <x:c r="G17" s="119" t="str">
        <x:v>在线与近线数据</x:v>
      </x:c>
      <x:c r="H17" s="113"/>
      <x:c r="I17" s="113"/>
      <x:c r="J17" s="113"/>
      <x:c r="K17" s="113"/>
      <x:c r="L17" s="113"/>
      <x:c r="M17" s="113"/>
      <x:c r="N17" s="113"/>
      <x:c r="O17" s="113"/>
    </x:row>
    <x:row r="18">
      <x:c r="A18" s="115" t="str">
        <x:v>容量冗余系数</x:v>
      </x:c>
      <x:c r="B18" s="116" t="str">
        <x:v>倍</x:v>
      </x:c>
      <x:c r="C18" s="117" t="n">
        <x:v>1.35</x:v>
      </x:c>
      <x:c r="D18" s="117" t="n">
        <x:v>1.25</x:v>
      </x:c>
      <x:c r="E18" s="117" t="n">
        <x:v>1.5</x:v>
      </x:c>
      <x:c r="F18" s="118" t="n">
        <x:v>1.35</x:v>
      </x:c>
      <x:c r="G18" s="119" t="str">
        <x:v>增长和运维余量</x:v>
      </x:c>
      <x:c r="H18" s="113"/>
      <x:c r="I18" s="113"/>
      <x:c r="J18" s="113"/>
      <x:c r="K18" s="113"/>
      <x:c r="L18" s="113"/>
      <x:c r="M18" s="113"/>
      <x:c r="N18" s="113"/>
      <x:c r="O18" s="113"/>
    </x:row>
    <x:row r="19">
      <x:c r="A19" s="115" t="str">
        <x:v>对象存储可用率</x:v>
      </x:c>
      <x:c r="B19" s="116" t="str">
        <x:v>%</x:v>
      </x:c>
      <x:c r="C19" s="117" t="n">
        <x:v>0.67</x:v>
      </x:c>
      <x:c r="D19" s="117" t="n">
        <x:v>0.65</x:v>
      </x:c>
      <x:c r="E19" s="117" t="n">
        <x:v>0.72</x:v>
      </x:c>
      <x:c r="F19" s="118" t="n">
        <x:v>0.67</x:v>
      </x:c>
      <x:c r="G19" s="119" t="str">
        <x:v>EC/副本、预留与故障域折算</x:v>
      </x:c>
      <x:c r="H19" s="113"/>
      <x:c r="I19" s="113"/>
      <x:c r="J19" s="113"/>
      <x:c r="K19" s="113"/>
      <x:c r="L19" s="113"/>
      <x:c r="M19" s="113"/>
      <x:c r="N19" s="113"/>
      <x:c r="O19" s="113"/>
    </x:row>
    <x:row r="20">
      <x:c r="A20" s="121" t="str">
        <x:v>结构化压缩系数</x:v>
      </x:c>
      <x:c r="B20" s="123" t="str">
        <x:v>倍</x:v>
      </x:c>
      <x:c r="C20" s="125" t="n">
        <x:v>0.55</x:v>
      </x:c>
      <x:c r="D20" s="125" t="n">
        <x:v>0.45</x:v>
      </x:c>
      <x:c r="E20" s="125" t="n">
        <x:v>0.7</x:v>
      </x:c>
      <x:c r="F20" s="126" t="n">
        <x:v>0.55</x:v>
      </x:c>
      <x:c r="G20" s="124" t="str">
        <x:v>列式/Parquet与冷热分层</x:v>
      </x:c>
      <x:c r="H20" s="113"/>
      <x:c r="I20" s="113"/>
      <x:c r="J20" s="113"/>
      <x:c r="K20" s="113"/>
      <x:c r="L20" s="113"/>
      <x:c r="M20" s="113"/>
      <x:c r="N20" s="113"/>
      <x:c r="O20" s="113"/>
    </x:row>
    <x:row r="21">
      <x:c r="A21" s="113"/>
      <x:c r="B21" s="113"/>
      <x:c r="C21" s="113"/>
      <x:c r="D21" s="113"/>
      <x:c r="E21" s="113"/>
      <x:c r="F21" s="113"/>
      <x:c r="G21" s="113"/>
      <x:c r="H21" s="113"/>
      <x:c r="I21" s="113"/>
      <x:c r="J21" s="113"/>
      <x:c r="K21" s="113"/>
      <x:c r="L21" s="113"/>
      <x:c r="M21" s="113"/>
      <x:c r="N21" s="113"/>
      <x:c r="O21" s="113"/>
    </x:row>
    <x:row r="22">
      <x:c r="A22" s="113"/>
      <x:c r="B22" s="113"/>
      <x:c r="C22" s="113"/>
      <x:c r="D22" s="113"/>
      <x:c r="E22" s="113"/>
      <x:c r="F22" s="113"/>
      <x:c r="G22" s="113"/>
      <x:c r="H22" s="113"/>
      <x:c r="I22" s="113"/>
      <x:c r="J22" s="113"/>
      <x:c r="K22" s="113"/>
      <x:c r="L22" s="113"/>
      <x:c r="M22" s="113"/>
      <x:c r="N22" s="113"/>
      <x:c r="O22" s="113"/>
    </x:row>
    <x:row r="23">
      <x:c r="A23" s="113"/>
      <x:c r="B23" s="113"/>
      <x:c r="C23" s="113"/>
      <x:c r="D23" s="113"/>
      <x:c r="E23" s="113"/>
      <x:c r="F23" s="113"/>
      <x:c r="G23" s="113"/>
      <x:c r="H23" s="113"/>
      <x:c r="I23" s="113"/>
      <x:c r="J23" s="113"/>
      <x:c r="K23" s="113"/>
      <x:c r="L23" s="113"/>
      <x:c r="M23" s="113"/>
      <x:c r="N23" s="113"/>
      <x:c r="O23" s="113"/>
    </x:row>
    <x:row r="24">
      <x:c r="A24" s="113"/>
      <x:c r="B24" s="113"/>
      <x:c r="C24" s="113"/>
      <x:c r="D24" s="113"/>
      <x:c r="E24" s="113"/>
      <x:c r="F24" s="113"/>
      <x:c r="G24" s="113"/>
      <x:c r="H24" s="113"/>
      <x:c r="I24" s="113"/>
      <x:c r="J24" s="113"/>
      <x:c r="K24" s="113"/>
      <x:c r="L24" s="113"/>
      <x:c r="M24" s="113"/>
      <x:c r="N24" s="113"/>
      <x:c r="O24" s="113"/>
    </x:row>
    <x:row r="25">
      <x:c r="A25" s="113"/>
      <x:c r="B25" s="113"/>
      <x:c r="C25" s="113"/>
      <x:c r="D25" s="113"/>
      <x:c r="E25" s="113"/>
      <x:c r="F25" s="113"/>
      <x:c r="G25" s="113"/>
      <x:c r="H25" s="113"/>
      <x:c r="I25" s="113"/>
      <x:c r="J25" s="113"/>
      <x:c r="K25" s="113"/>
      <x:c r="L25" s="113"/>
      <x:c r="M25" s="113"/>
      <x:c r="N25" s="113"/>
      <x:c r="O25" s="113"/>
    </x:row>
    <x:row r="26">
      <x:c r="A26" s="113"/>
      <x:c r="B26" s="113"/>
      <x:c r="C26" s="113"/>
      <x:c r="D26" s="113"/>
      <x:c r="E26" s="113"/>
      <x:c r="F26" s="113"/>
      <x:c r="G26" s="113"/>
      <x:c r="H26" s="113"/>
      <x:c r="I26" s="113"/>
      <x:c r="J26" s="113"/>
      <x:c r="K26" s="113"/>
      <x:c r="L26" s="113"/>
      <x:c r="M26" s="113"/>
      <x:c r="N26" s="113"/>
      <x:c r="O26" s="113"/>
    </x:row>
    <x:row r="27">
      <x:c r="A27" s="113"/>
      <x:c r="B27" s="113"/>
      <x:c r="C27" s="113"/>
      <x:c r="D27" s="113"/>
      <x:c r="E27" s="113"/>
      <x:c r="F27" s="113"/>
      <x:c r="G27" s="113"/>
      <x:c r="H27" s="113"/>
      <x:c r="I27" s="113"/>
      <x:c r="J27" s="113"/>
      <x:c r="K27" s="113"/>
      <x:c r="L27" s="113"/>
      <x:c r="M27" s="113"/>
      <x:c r="N27" s="113"/>
      <x:c r="O27" s="113"/>
    </x:row>
    <x:row r="28">
      <x:c r="A28" s="113"/>
      <x:c r="B28" s="113"/>
      <x:c r="C28" s="113"/>
      <x:c r="D28" s="113"/>
      <x:c r="E28" s="113"/>
      <x:c r="F28" s="113"/>
      <x:c r="G28" s="113"/>
      <x:c r="H28" s="113"/>
      <x:c r="I28" s="113"/>
      <x:c r="J28" s="113"/>
      <x:c r="K28" s="113"/>
      <x:c r="L28" s="113"/>
      <x:c r="M28" s="113"/>
      <x:c r="N28" s="113"/>
      <x:c r="O28" s="113"/>
    </x:row>
    <x:row r="29">
      <x:c r="A29" s="113"/>
      <x:c r="B29" s="113"/>
      <x:c r="C29" s="113"/>
      <x:c r="D29" s="113"/>
      <x:c r="E29" s="113"/>
      <x:c r="F29" s="113"/>
      <x:c r="G29" s="113"/>
      <x:c r="H29" s="113"/>
      <x:c r="I29" s="113"/>
      <x:c r="J29" s="113"/>
      <x:c r="K29" s="113"/>
      <x:c r="L29" s="113"/>
      <x:c r="M29" s="113"/>
      <x:c r="N29" s="113"/>
      <x:c r="O29" s="113"/>
    </x:row>
    <x:row r="30">
      <x:c r="A30" s="113"/>
      <x:c r="B30" s="113"/>
      <x:c r="C30" s="113"/>
      <x:c r="D30" s="113"/>
      <x:c r="E30" s="113"/>
      <x:c r="F30" s="113"/>
      <x:c r="G30" s="113"/>
      <x:c r="H30" s="113"/>
      <x:c r="I30" s="113"/>
      <x:c r="J30" s="113"/>
      <x:c r="K30" s="113"/>
      <x:c r="L30" s="113"/>
      <x:c r="M30" s="113"/>
      <x:c r="N30" s="113"/>
      <x:c r="O30" s="113"/>
    </x:row>
    <x:row r="31">
      <x:c r="A31" s="113"/>
      <x:c r="B31" s="113"/>
      <x:c r="C31" s="113"/>
      <x:c r="D31" s="113"/>
      <x:c r="E31" s="113"/>
      <x:c r="F31" s="113"/>
      <x:c r="G31" s="113"/>
      <x:c r="H31" s="113"/>
      <x:c r="I31" s="113"/>
      <x:c r="J31" s="113"/>
      <x:c r="K31" s="113"/>
      <x:c r="L31" s="113"/>
      <x:c r="M31" s="113"/>
      <x:c r="N31" s="113"/>
      <x:c r="O31" s="113"/>
    </x:row>
    <x:row r="32">
      <x:c r="A32" s="113"/>
      <x:c r="B32" s="113"/>
      <x:c r="C32" s="113"/>
      <x:c r="D32" s="113"/>
      <x:c r="E32" s="113"/>
      <x:c r="F32" s="113"/>
      <x:c r="G32" s="113"/>
      <x:c r="H32" s="113"/>
      <x:c r="I32" s="113"/>
      <x:c r="J32" s="113"/>
      <x:c r="K32" s="113"/>
      <x:c r="L32" s="113"/>
      <x:c r="M32" s="113"/>
      <x:c r="N32" s="113"/>
      <x:c r="O32" s="113"/>
    </x:row>
    <x:row r="33">
      <x:c r="A33" s="113"/>
      <x:c r="B33" s="113"/>
      <x:c r="C33" s="113"/>
      <x:c r="D33" s="113"/>
      <x:c r="E33" s="113"/>
      <x:c r="F33" s="113"/>
      <x:c r="G33" s="113"/>
      <x:c r="H33" s="113"/>
      <x:c r="I33" s="113"/>
      <x:c r="J33" s="113"/>
      <x:c r="K33" s="113"/>
      <x:c r="L33" s="113"/>
      <x:c r="M33" s="113"/>
      <x:c r="N33" s="113"/>
      <x:c r="O33" s="113"/>
    </x:row>
    <x:row r="34">
      <x:c r="A34" s="113"/>
      <x:c r="B34" s="113"/>
      <x:c r="C34" s="113"/>
      <x:c r="D34" s="113"/>
      <x:c r="E34" s="113"/>
      <x:c r="F34" s="113"/>
      <x:c r="G34" s="113"/>
      <x:c r="H34" s="113"/>
      <x:c r="I34" s="113"/>
      <x:c r="J34" s="113"/>
      <x:c r="K34" s="113"/>
      <x:c r="L34" s="113"/>
      <x:c r="M34" s="113"/>
      <x:c r="N34" s="113"/>
      <x:c r="O34" s="113"/>
    </x:row>
    <x:row r="35">
      <x:c r="A35" s="113"/>
      <x:c r="B35" s="113"/>
      <x:c r="C35" s="113"/>
      <x:c r="D35" s="113"/>
      <x:c r="E35" s="113"/>
      <x:c r="F35" s="113"/>
      <x:c r="G35" s="113"/>
      <x:c r="H35" s="113"/>
      <x:c r="I35" s="113"/>
      <x:c r="J35" s="113"/>
      <x:c r="K35" s="113"/>
      <x:c r="L35" s="113"/>
      <x:c r="M35" s="113"/>
      <x:c r="N35" s="113"/>
      <x:c r="O35" s="113"/>
    </x:row>
    <x:row r="36">
      <x:c r="A36" s="113"/>
      <x:c r="B36" s="113"/>
      <x:c r="C36" s="113"/>
      <x:c r="D36" s="113"/>
      <x:c r="E36" s="113"/>
      <x:c r="F36" s="113"/>
      <x:c r="G36" s="113"/>
      <x:c r="H36" s="113"/>
      <x:c r="I36" s="113"/>
      <x:c r="J36" s="113"/>
      <x:c r="K36" s="113"/>
      <x:c r="L36" s="113"/>
      <x:c r="M36" s="113"/>
      <x:c r="N36" s="113"/>
      <x:c r="O36" s="113"/>
    </x:row>
    <x:row r="37">
      <x:c r="A37" s="113"/>
      <x:c r="B37" s="113"/>
      <x:c r="C37" s="113"/>
      <x:c r="D37" s="113"/>
      <x:c r="E37" s="113"/>
      <x:c r="F37" s="113"/>
      <x:c r="G37" s="113"/>
      <x:c r="H37" s="113"/>
      <x:c r="I37" s="113"/>
      <x:c r="J37" s="113"/>
      <x:c r="K37" s="113"/>
      <x:c r="L37" s="113"/>
      <x:c r="M37" s="113"/>
      <x:c r="N37" s="113"/>
      <x:c r="O37" s="113"/>
    </x:row>
    <x:row r="38">
      <x:c r="A38" s="113"/>
      <x:c r="B38" s="113"/>
      <x:c r="C38" s="113"/>
      <x:c r="D38" s="113"/>
      <x:c r="E38" s="113"/>
      <x:c r="F38" s="113"/>
      <x:c r="G38" s="113"/>
      <x:c r="H38" s="113"/>
      <x:c r="I38" s="113"/>
      <x:c r="J38" s="113"/>
      <x:c r="K38" s="113"/>
      <x:c r="L38" s="113"/>
      <x:c r="M38" s="113"/>
      <x:c r="N38" s="113"/>
      <x:c r="O38" s="113"/>
    </x:row>
    <x:row r="39">
      <x:c r="A39" s="113"/>
      <x:c r="B39" s="113"/>
      <x:c r="C39" s="113"/>
      <x:c r="D39" s="113"/>
      <x:c r="E39" s="113"/>
      <x:c r="F39" s="113"/>
      <x:c r="G39" s="113"/>
      <x:c r="H39" s="113"/>
      <x:c r="I39" s="113"/>
      <x:c r="J39" s="113"/>
      <x:c r="K39" s="113"/>
      <x:c r="L39" s="113"/>
      <x:c r="M39" s="113"/>
      <x:c r="N39" s="113"/>
      <x:c r="O39" s="113"/>
    </x:row>
    <x:row r="40">
      <x:c r="A40" s="113"/>
      <x:c r="B40" s="113"/>
      <x:c r="C40" s="113"/>
      <x:c r="D40" s="113"/>
      <x:c r="E40" s="113"/>
      <x:c r="F40" s="113"/>
      <x:c r="G40" s="113"/>
      <x:c r="H40" s="113"/>
      <x:c r="I40" s="113"/>
      <x:c r="J40" s="113"/>
      <x:c r="K40" s="113"/>
      <x:c r="L40" s="113"/>
      <x:c r="M40" s="113"/>
      <x:c r="N40" s="113"/>
      <x:c r="O40" s="113"/>
    </x:row>
    <x:row r="41">
      <x:c r="A41" s="113"/>
      <x:c r="B41" s="113"/>
      <x:c r="C41" s="113"/>
      <x:c r="D41" s="113"/>
      <x:c r="E41" s="113"/>
      <x:c r="F41" s="113"/>
      <x:c r="G41" s="113"/>
      <x:c r="H41" s="113"/>
      <x:c r="I41" s="113"/>
      <x:c r="J41" s="113"/>
      <x:c r="K41" s="113"/>
      <x:c r="L41" s="113"/>
      <x:c r="M41" s="113"/>
      <x:c r="N41" s="113"/>
      <x:c r="O41" s="113"/>
    </x:row>
    <x:row r="42">
      <x:c r="A42" s="113"/>
      <x:c r="B42" s="113"/>
      <x:c r="C42" s="113"/>
      <x:c r="D42" s="113"/>
      <x:c r="E42" s="113"/>
      <x:c r="F42" s="113"/>
      <x:c r="G42" s="113"/>
      <x:c r="H42" s="113"/>
      <x:c r="I42" s="113"/>
      <x:c r="J42" s="113"/>
      <x:c r="K42" s="113"/>
      <x:c r="L42" s="113"/>
      <x:c r="M42" s="113"/>
      <x:c r="N42" s="113"/>
      <x:c r="O42" s="113"/>
    </x:row>
    <x:row r="43">
      <x:c r="A43" s="113"/>
      <x:c r="B43" s="113"/>
      <x:c r="C43" s="113"/>
      <x:c r="D43" s="113"/>
      <x:c r="E43" s="113"/>
      <x:c r="F43" s="113"/>
      <x:c r="G43" s="113"/>
      <x:c r="H43" s="113"/>
      <x:c r="I43" s="113"/>
      <x:c r="J43" s="113"/>
      <x:c r="K43" s="113"/>
      <x:c r="L43" s="113"/>
      <x:c r="M43" s="113"/>
      <x:c r="N43" s="113"/>
      <x:c r="O43" s="113"/>
    </x:row>
    <x:row r="44">
      <x:c r="A44" s="113"/>
      <x:c r="B44" s="113"/>
      <x:c r="C44" s="113"/>
      <x:c r="D44" s="113"/>
      <x:c r="E44" s="113"/>
      <x:c r="F44" s="113"/>
      <x:c r="G44" s="113"/>
      <x:c r="H44" s="113"/>
      <x:c r="I44" s="113"/>
      <x:c r="J44" s="113"/>
      <x:c r="K44" s="113"/>
      <x:c r="L44" s="113"/>
      <x:c r="M44" s="113"/>
      <x:c r="N44" s="113"/>
      <x:c r="O44" s="113"/>
    </x:row>
    <x:row r="45">
      <x:c r="A45" s="113"/>
      <x:c r="B45" s="113"/>
      <x:c r="C45" s="113"/>
      <x:c r="D45" s="113"/>
      <x:c r="E45" s="113"/>
      <x:c r="F45" s="113"/>
      <x:c r="G45" s="113"/>
      <x:c r="H45" s="113"/>
      <x:c r="I45" s="113"/>
      <x:c r="J45" s="113"/>
      <x:c r="K45" s="113"/>
      <x:c r="L45" s="113"/>
      <x:c r="M45" s="113"/>
      <x:c r="N45" s="113"/>
      <x:c r="O45" s="113"/>
    </x:row>
    <x:row r="46">
      <x:c r="A46" s="113"/>
      <x:c r="B46" s="113"/>
      <x:c r="C46" s="113"/>
      <x:c r="D46" s="113"/>
      <x:c r="E46" s="113"/>
      <x:c r="F46" s="113"/>
      <x:c r="G46" s="113"/>
      <x:c r="H46" s="113"/>
      <x:c r="I46" s="113"/>
      <x:c r="J46" s="113"/>
      <x:c r="K46" s="113"/>
      <x:c r="L46" s="113"/>
      <x:c r="M46" s="113"/>
      <x:c r="N46" s="113"/>
      <x:c r="O46" s="113"/>
    </x:row>
    <x:row r="47">
      <x:c r="A47" s="113"/>
      <x:c r="B47" s="113"/>
      <x:c r="C47" s="113"/>
      <x:c r="D47" s="113"/>
      <x:c r="E47" s="113"/>
      <x:c r="F47" s="113"/>
      <x:c r="G47" s="113"/>
      <x:c r="H47" s="113"/>
      <x:c r="I47" s="113"/>
      <x:c r="J47" s="113"/>
      <x:c r="K47" s="113"/>
      <x:c r="L47" s="113"/>
      <x:c r="M47" s="113"/>
      <x:c r="N47" s="113"/>
      <x:c r="O47" s="113"/>
    </x:row>
    <x:row r="48">
      <x:c r="A48" s="113"/>
      <x:c r="B48" s="113"/>
      <x:c r="C48" s="113"/>
      <x:c r="D48" s="113"/>
      <x:c r="E48" s="113"/>
      <x:c r="F48" s="113"/>
      <x:c r="G48" s="113"/>
      <x:c r="H48" s="113"/>
      <x:c r="I48" s="113"/>
      <x:c r="J48" s="113"/>
      <x:c r="K48" s="113"/>
      <x:c r="L48" s="113"/>
      <x:c r="M48" s="113"/>
      <x:c r="N48" s="113"/>
      <x:c r="O48" s="113"/>
    </x:row>
    <x:row r="49">
      <x:c r="A49" s="113"/>
      <x:c r="B49" s="113"/>
      <x:c r="C49" s="113"/>
      <x:c r="D49" s="113"/>
      <x:c r="E49" s="113"/>
      <x:c r="F49" s="113"/>
      <x:c r="G49" s="113"/>
      <x:c r="H49" s="113"/>
      <x:c r="I49" s="113"/>
      <x:c r="J49" s="113"/>
      <x:c r="K49" s="113"/>
      <x:c r="L49" s="113"/>
      <x:c r="M49" s="113"/>
      <x:c r="N49" s="113"/>
      <x:c r="O49" s="113"/>
    </x:row>
    <x:row r="50">
      <x:c r="A50" s="113"/>
      <x:c r="B50" s="113"/>
      <x:c r="C50" s="113"/>
      <x:c r="D50" s="113"/>
      <x:c r="E50" s="113"/>
      <x:c r="F50" s="113"/>
      <x:c r="G50" s="113"/>
      <x:c r="H50" s="113"/>
      <x:c r="I50" s="113"/>
      <x:c r="J50" s="113"/>
      <x:c r="K50" s="113"/>
      <x:c r="L50" s="113"/>
      <x:c r="M50" s="113"/>
      <x:c r="N50" s="113"/>
      <x:c r="O50" s="113"/>
    </x:row>
    <x:row r="51">
      <x:c r="A51" s="113"/>
      <x:c r="B51" s="113"/>
      <x:c r="C51" s="113"/>
      <x:c r="D51" s="113"/>
      <x:c r="E51" s="113"/>
      <x:c r="F51" s="113"/>
      <x:c r="G51" s="113"/>
      <x:c r="H51" s="113"/>
      <x:c r="I51" s="113"/>
      <x:c r="J51" s="113"/>
      <x:c r="K51" s="113"/>
      <x:c r="L51" s="113"/>
      <x:c r="M51" s="113"/>
      <x:c r="N51" s="113"/>
      <x:c r="O51" s="113"/>
    </x:row>
    <x:row r="52">
      <x:c r="A52" s="113"/>
      <x:c r="B52" s="113"/>
      <x:c r="C52" s="113"/>
      <x:c r="D52" s="113"/>
      <x:c r="E52" s="113"/>
      <x:c r="F52" s="113"/>
      <x:c r="G52" s="113"/>
      <x:c r="H52" s="113"/>
      <x:c r="I52" s="113"/>
      <x:c r="J52" s="113"/>
      <x:c r="K52" s="113"/>
      <x:c r="L52" s="113"/>
      <x:c r="M52" s="113"/>
      <x:c r="N52" s="113"/>
      <x:c r="O52" s="113"/>
    </x:row>
    <x:row r="53">
      <x:c r="A53" s="113"/>
      <x:c r="B53" s="113"/>
      <x:c r="C53" s="113"/>
      <x:c r="D53" s="113"/>
      <x:c r="E53" s="113"/>
      <x:c r="F53" s="113"/>
      <x:c r="G53" s="113"/>
      <x:c r="H53" s="113"/>
      <x:c r="I53" s="113"/>
      <x:c r="J53" s="113"/>
      <x:c r="K53" s="113"/>
      <x:c r="L53" s="113"/>
      <x:c r="M53" s="113"/>
      <x:c r="N53" s="113"/>
      <x:c r="O53" s="113"/>
    </x:row>
    <x:row r="54">
      <x:c r="A54" s="113"/>
      <x:c r="B54" s="113"/>
      <x:c r="C54" s="113"/>
      <x:c r="D54" s="113"/>
      <x:c r="E54" s="113"/>
      <x:c r="F54" s="113"/>
      <x:c r="G54" s="113"/>
      <x:c r="H54" s="113"/>
      <x:c r="I54" s="113"/>
      <x:c r="J54" s="113"/>
      <x:c r="K54" s="113"/>
      <x:c r="L54" s="113"/>
      <x:c r="M54" s="113"/>
      <x:c r="N54" s="113"/>
      <x:c r="O54" s="113"/>
    </x:row>
    <x:row r="55">
      <x:c r="A55" s="113"/>
      <x:c r="B55" s="113"/>
      <x:c r="C55" s="113"/>
      <x:c r="D55" s="113"/>
      <x:c r="E55" s="113"/>
      <x:c r="F55" s="113"/>
      <x:c r="G55" s="113"/>
      <x:c r="H55" s="113"/>
      <x:c r="I55" s="113"/>
      <x:c r="J55" s="113"/>
      <x:c r="K55" s="113"/>
      <x:c r="L55" s="113"/>
      <x:c r="M55" s="113"/>
      <x:c r="N55" s="113"/>
      <x:c r="O55" s="113"/>
    </x:row>
    <x:row r="56">
      <x:c r="A56" s="113"/>
      <x:c r="B56" s="113"/>
      <x:c r="C56" s="113"/>
      <x:c r="D56" s="113"/>
      <x:c r="E56" s="113"/>
      <x:c r="F56" s="113"/>
      <x:c r="G56" s="113"/>
      <x:c r="H56" s="113"/>
      <x:c r="I56" s="113"/>
      <x:c r="J56" s="113"/>
      <x:c r="K56" s="113"/>
      <x:c r="L56" s="113"/>
      <x:c r="M56" s="113"/>
      <x:c r="N56" s="113"/>
      <x:c r="O56" s="113"/>
    </x:row>
    <x:row r="57">
      <x:c r="A57" s="113"/>
      <x:c r="B57" s="113"/>
      <x:c r="C57" s="113"/>
      <x:c r="D57" s="113"/>
      <x:c r="E57" s="113"/>
      <x:c r="F57" s="113"/>
      <x:c r="G57" s="113"/>
      <x:c r="H57" s="113"/>
      <x:c r="I57" s="113"/>
      <x:c r="J57" s="113"/>
      <x:c r="K57" s="113"/>
      <x:c r="L57" s="113"/>
      <x:c r="M57" s="113"/>
      <x:c r="N57" s="113"/>
      <x:c r="O57" s="113"/>
    </x:row>
    <x:row r="58">
      <x:c r="A58" s="113"/>
      <x:c r="B58" s="113"/>
      <x:c r="C58" s="113"/>
      <x:c r="D58" s="113"/>
      <x:c r="E58" s="113"/>
      <x:c r="F58" s="113"/>
      <x:c r="G58" s="113"/>
      <x:c r="H58" s="113"/>
      <x:c r="I58" s="113"/>
      <x:c r="J58" s="113"/>
      <x:c r="K58" s="113"/>
      <x:c r="L58" s="113"/>
      <x:c r="M58" s="113"/>
      <x:c r="N58" s="113"/>
      <x:c r="O58" s="113"/>
    </x:row>
    <x:row r="59">
      <x:c r="A59" s="113"/>
      <x:c r="B59" s="113"/>
      <x:c r="C59" s="113"/>
      <x:c r="D59" s="113"/>
      <x:c r="E59" s="113"/>
      <x:c r="F59" s="113"/>
      <x:c r="G59" s="113"/>
      <x:c r="H59" s="113"/>
      <x:c r="I59" s="113"/>
      <x:c r="J59" s="113"/>
      <x:c r="K59" s="113"/>
      <x:c r="L59" s="113"/>
      <x:c r="M59" s="113"/>
      <x:c r="N59" s="113"/>
      <x:c r="O59" s="113"/>
    </x:row>
    <x:row r="60">
      <x:c r="A60" s="113"/>
      <x:c r="B60" s="113"/>
      <x:c r="C60" s="113"/>
      <x:c r="D60" s="113"/>
      <x:c r="E60" s="113"/>
      <x:c r="F60" s="113"/>
      <x:c r="G60" s="113"/>
      <x:c r="H60" s="113"/>
      <x:c r="I60" s="113"/>
      <x:c r="J60" s="113"/>
      <x:c r="K60" s="113"/>
      <x:c r="L60" s="113"/>
      <x:c r="M60" s="113"/>
      <x:c r="N60" s="113"/>
      <x:c r="O60" s="113"/>
    </x:row>
    <x:row r="61">
      <x:c r="A61" s="113"/>
      <x:c r="B61" s="113"/>
      <x:c r="C61" s="113"/>
      <x:c r="D61" s="113"/>
      <x:c r="E61" s="113"/>
      <x:c r="F61" s="113"/>
      <x:c r="G61" s="113"/>
      <x:c r="H61" s="113"/>
      <x:c r="I61" s="113"/>
      <x:c r="J61" s="113"/>
      <x:c r="K61" s="113"/>
      <x:c r="L61" s="113"/>
      <x:c r="M61" s="113"/>
      <x:c r="N61" s="113"/>
      <x:c r="O61" s="113"/>
    </x:row>
    <x:row r="62">
      <x:c r="A62" s="113"/>
      <x:c r="B62" s="113"/>
      <x:c r="C62" s="113"/>
      <x:c r="D62" s="113"/>
      <x:c r="E62" s="113"/>
      <x:c r="F62" s="113"/>
      <x:c r="G62" s="113"/>
      <x:c r="H62" s="113"/>
      <x:c r="I62" s="113"/>
      <x:c r="J62" s="113"/>
      <x:c r="K62" s="113"/>
      <x:c r="L62" s="113"/>
      <x:c r="M62" s="113"/>
      <x:c r="N62" s="113"/>
      <x:c r="O62" s="113"/>
    </x:row>
    <x:row r="63">
      <x:c r="A63" s="113"/>
      <x:c r="B63" s="113"/>
      <x:c r="C63" s="113"/>
      <x:c r="D63" s="113"/>
      <x:c r="E63" s="113"/>
      <x:c r="F63" s="113"/>
      <x:c r="G63" s="113"/>
      <x:c r="H63" s="113"/>
      <x:c r="I63" s="113"/>
      <x:c r="J63" s="113"/>
      <x:c r="K63" s="113"/>
      <x:c r="L63" s="113"/>
      <x:c r="M63" s="113"/>
      <x:c r="N63" s="113"/>
      <x:c r="O63" s="113"/>
    </x:row>
    <x:row r="64">
      <x:c r="A64" s="113"/>
      <x:c r="B64" s="113"/>
      <x:c r="C64" s="113"/>
      <x:c r="D64" s="113"/>
      <x:c r="E64" s="113"/>
      <x:c r="F64" s="113"/>
      <x:c r="G64" s="113"/>
      <x:c r="H64" s="113"/>
      <x:c r="I64" s="113"/>
      <x:c r="J64" s="113"/>
      <x:c r="K64" s="113"/>
      <x:c r="L64" s="113"/>
      <x:c r="M64" s="113"/>
      <x:c r="N64" s="113"/>
      <x:c r="O64" s="113"/>
    </x:row>
    <x:row r="65">
      <x:c r="A65" s="113"/>
      <x:c r="B65" s="113"/>
      <x:c r="C65" s="113"/>
      <x:c r="D65" s="113"/>
      <x:c r="E65" s="113"/>
      <x:c r="F65" s="113"/>
      <x:c r="G65" s="113"/>
      <x:c r="H65" s="113"/>
      <x:c r="I65" s="113"/>
      <x:c r="J65" s="113"/>
      <x:c r="K65" s="113"/>
      <x:c r="L65" s="113"/>
      <x:c r="M65" s="113"/>
      <x:c r="N65" s="113"/>
      <x:c r="O65" s="113"/>
    </x:row>
    <x:row r="66">
      <x:c r="A66" s="113"/>
      <x:c r="B66" s="113"/>
      <x:c r="C66" s="113"/>
      <x:c r="D66" s="113"/>
      <x:c r="E66" s="113"/>
      <x:c r="F66" s="113"/>
      <x:c r="G66" s="113"/>
      <x:c r="H66" s="113"/>
      <x:c r="I66" s="113"/>
      <x:c r="J66" s="113"/>
      <x:c r="K66" s="113"/>
      <x:c r="L66" s="113"/>
      <x:c r="M66" s="113"/>
      <x:c r="N66" s="113"/>
      <x:c r="O66" s="113"/>
    </x:row>
    <x:row r="67">
      <x:c r="A67" s="113"/>
      <x:c r="B67" s="113"/>
      <x:c r="C67" s="113"/>
      <x:c r="D67" s="113"/>
      <x:c r="E67" s="113"/>
      <x:c r="F67" s="113"/>
      <x:c r="G67" s="113"/>
      <x:c r="H67" s="113"/>
      <x:c r="I67" s="113"/>
      <x:c r="J67" s="113"/>
      <x:c r="K67" s="113"/>
      <x:c r="L67" s="113"/>
      <x:c r="M67" s="113"/>
      <x:c r="N67" s="113"/>
      <x:c r="O67" s="113"/>
    </x:row>
    <x:row r="68">
      <x:c r="A68" s="113"/>
      <x:c r="B68" s="113"/>
      <x:c r="C68" s="113"/>
      <x:c r="D68" s="113"/>
      <x:c r="E68" s="113"/>
      <x:c r="F68" s="113"/>
      <x:c r="G68" s="113"/>
      <x:c r="H68" s="113"/>
      <x:c r="I68" s="113"/>
      <x:c r="J68" s="113"/>
      <x:c r="K68" s="113"/>
      <x:c r="L68" s="113"/>
      <x:c r="M68" s="113"/>
      <x:c r="N68" s="113"/>
      <x:c r="O68" s="113"/>
    </x:row>
    <x:row r="69">
      <x:c r="A69" s="113"/>
      <x:c r="B69" s="113"/>
      <x:c r="C69" s="113"/>
      <x:c r="D69" s="113"/>
      <x:c r="E69" s="113"/>
      <x:c r="F69" s="113"/>
      <x:c r="G69" s="113"/>
      <x:c r="H69" s="113"/>
      <x:c r="I69" s="113"/>
      <x:c r="J69" s="113"/>
      <x:c r="K69" s="113"/>
      <x:c r="L69" s="113"/>
      <x:c r="M69" s="113"/>
      <x:c r="N69" s="113"/>
      <x:c r="O69" s="113"/>
    </x:row>
    <x:row r="70">
      <x:c r="A70" s="113"/>
      <x:c r="B70" s="113"/>
      <x:c r="C70" s="113"/>
      <x:c r="D70" s="113"/>
      <x:c r="E70" s="113"/>
      <x:c r="F70" s="113"/>
      <x:c r="G70" s="113"/>
      <x:c r="H70" s="113"/>
      <x:c r="I70" s="113"/>
      <x:c r="J70" s="113"/>
      <x:c r="K70" s="113"/>
      <x:c r="L70" s="113"/>
      <x:c r="M70" s="113"/>
      <x:c r="N70" s="113"/>
      <x:c r="O70" s="113"/>
    </x:row>
    <x:row r="71">
      <x:c r="A71" s="113"/>
      <x:c r="B71" s="113"/>
      <x:c r="C71" s="113"/>
      <x:c r="D71" s="113"/>
      <x:c r="E71" s="113"/>
      <x:c r="F71" s="113"/>
      <x:c r="G71" s="113"/>
      <x:c r="H71" s="113"/>
      <x:c r="I71" s="113"/>
      <x:c r="J71" s="113"/>
      <x:c r="K71" s="113"/>
      <x:c r="L71" s="113"/>
      <x:c r="M71" s="113"/>
      <x:c r="N71" s="113"/>
      <x:c r="O71" s="113"/>
    </x:row>
    <x:row r="72">
      <x:c r="A72" s="113"/>
      <x:c r="B72" s="113"/>
      <x:c r="C72" s="113"/>
      <x:c r="D72" s="113"/>
      <x:c r="E72" s="113"/>
      <x:c r="F72" s="113"/>
      <x:c r="G72" s="113"/>
      <x:c r="H72" s="113"/>
      <x:c r="I72" s="113"/>
      <x:c r="J72" s="113"/>
      <x:c r="K72" s="113"/>
      <x:c r="L72" s="113"/>
      <x:c r="M72" s="113"/>
      <x:c r="N72" s="113"/>
      <x:c r="O72" s="113"/>
    </x:row>
    <x:row r="73">
      <x:c r="A73" s="113"/>
      <x:c r="B73" s="113"/>
      <x:c r="C73" s="113"/>
      <x:c r="D73" s="113"/>
      <x:c r="E73" s="113"/>
      <x:c r="F73" s="113"/>
      <x:c r="G73" s="113"/>
      <x:c r="H73" s="113"/>
      <x:c r="I73" s="113"/>
      <x:c r="J73" s="113"/>
      <x:c r="K73" s="113"/>
      <x:c r="L73" s="113"/>
      <x:c r="M73" s="113"/>
      <x:c r="N73" s="113"/>
      <x:c r="O73" s="113"/>
    </x:row>
    <x:row r="74">
      <x:c r="A74" s="113"/>
      <x:c r="B74" s="113"/>
      <x:c r="C74" s="113"/>
      <x:c r="D74" s="113"/>
      <x:c r="E74" s="113"/>
      <x:c r="F74" s="113"/>
      <x:c r="G74" s="113"/>
      <x:c r="H74" s="113"/>
      <x:c r="I74" s="113"/>
      <x:c r="J74" s="113"/>
      <x:c r="K74" s="113"/>
      <x:c r="L74" s="113"/>
      <x:c r="M74" s="113"/>
      <x:c r="N74" s="113"/>
      <x:c r="O74" s="113"/>
    </x:row>
    <x:row r="75">
      <x:c r="A75" s="113"/>
      <x:c r="B75" s="113"/>
      <x:c r="C75" s="113"/>
      <x:c r="D75" s="113"/>
      <x:c r="E75" s="113"/>
      <x:c r="F75" s="113"/>
      <x:c r="G75" s="113"/>
      <x:c r="H75" s="113"/>
      <x:c r="I75" s="113"/>
      <x:c r="J75" s="113"/>
      <x:c r="K75" s="113"/>
      <x:c r="L75" s="113"/>
      <x:c r="M75" s="113"/>
      <x:c r="N75" s="113"/>
      <x:c r="O75" s="113"/>
    </x:row>
    <x:row r="76">
      <x:c r="A76" s="113"/>
      <x:c r="B76" s="113"/>
      <x:c r="C76" s="113"/>
      <x:c r="D76" s="113"/>
      <x:c r="E76" s="113"/>
      <x:c r="F76" s="113"/>
      <x:c r="G76" s="113"/>
      <x:c r="H76" s="113"/>
      <x:c r="I76" s="113"/>
      <x:c r="J76" s="113"/>
      <x:c r="K76" s="113"/>
      <x:c r="L76" s="113"/>
      <x:c r="M76" s="113"/>
      <x:c r="N76" s="113"/>
      <x:c r="O76" s="113"/>
    </x:row>
    <x:row r="77">
      <x:c r="A77" s="113"/>
      <x:c r="B77" s="113"/>
      <x:c r="C77" s="113"/>
      <x:c r="D77" s="113"/>
      <x:c r="E77" s="113"/>
      <x:c r="F77" s="113"/>
      <x:c r="G77" s="113"/>
      <x:c r="H77" s="113"/>
      <x:c r="I77" s="113"/>
      <x:c r="J77" s="113"/>
      <x:c r="K77" s="113"/>
      <x:c r="L77" s="113"/>
      <x:c r="M77" s="113"/>
      <x:c r="N77" s="113"/>
      <x:c r="O77" s="113"/>
    </x:row>
    <x:row r="78">
      <x:c r="A78" s="113"/>
      <x:c r="B78" s="113"/>
      <x:c r="C78" s="113"/>
      <x:c r="D78" s="113"/>
      <x:c r="E78" s="113"/>
      <x:c r="F78" s="113"/>
      <x:c r="G78" s="113"/>
      <x:c r="H78" s="113"/>
      <x:c r="I78" s="113"/>
      <x:c r="J78" s="113"/>
      <x:c r="K78" s="113"/>
      <x:c r="L78" s="113"/>
      <x:c r="M78" s="113"/>
      <x:c r="N78" s="113"/>
      <x:c r="O78" s="113"/>
    </x:row>
    <x:row r="79">
      <x:c r="A79" s="113"/>
      <x:c r="B79" s="113"/>
      <x:c r="C79" s="113"/>
      <x:c r="D79" s="113"/>
      <x:c r="E79" s="113"/>
      <x:c r="F79" s="113"/>
      <x:c r="G79" s="113"/>
      <x:c r="H79" s="113"/>
      <x:c r="I79" s="113"/>
      <x:c r="J79" s="113"/>
      <x:c r="K79" s="113"/>
      <x:c r="L79" s="113"/>
      <x:c r="M79" s="113"/>
      <x:c r="N79" s="113"/>
      <x:c r="O79" s="113"/>
    </x:row>
    <x:row r="80">
      <x:c r="A80" s="113"/>
      <x:c r="B80" s="113"/>
      <x:c r="C80" s="113"/>
      <x:c r="D80" s="113"/>
      <x:c r="E80" s="113"/>
      <x:c r="F80" s="113"/>
      <x:c r="G80" s="113"/>
      <x:c r="H80" s="113"/>
      <x:c r="I80" s="113"/>
      <x:c r="J80" s="113"/>
      <x:c r="K80" s="113"/>
      <x:c r="L80" s="113"/>
      <x:c r="M80" s="113"/>
      <x:c r="N80" s="113"/>
      <x:c r="O80" s="113"/>
    </x:row>
    <x:row r="81">
      <x:c r="A81" s="113"/>
      <x:c r="B81" s="113"/>
      <x:c r="C81" s="113"/>
      <x:c r="D81" s="113"/>
      <x:c r="E81" s="113"/>
      <x:c r="F81" s="113"/>
      <x:c r="G81" s="113"/>
      <x:c r="H81" s="113"/>
      <x:c r="I81" s="113"/>
      <x:c r="J81" s="113"/>
      <x:c r="K81" s="113"/>
      <x:c r="L81" s="113"/>
      <x:c r="M81" s="113"/>
      <x:c r="N81" s="113"/>
      <x:c r="O81" s="113"/>
    </x:row>
    <x:row r="82">
      <x:c r="A82" s="113"/>
      <x:c r="B82" s="113"/>
      <x:c r="C82" s="113"/>
      <x:c r="D82" s="113"/>
      <x:c r="E82" s="113"/>
      <x:c r="F82" s="113"/>
      <x:c r="G82" s="113"/>
      <x:c r="H82" s="113"/>
      <x:c r="I82" s="113"/>
      <x:c r="J82" s="113"/>
      <x:c r="K82" s="113"/>
      <x:c r="L82" s="113"/>
      <x:c r="M82" s="113"/>
      <x:c r="N82" s="113"/>
      <x:c r="O82" s="113"/>
    </x:row>
    <x:row r="83">
      <x:c r="A83" s="113"/>
      <x:c r="B83" s="113"/>
      <x:c r="C83" s="113"/>
      <x:c r="D83" s="113"/>
      <x:c r="E83" s="113"/>
      <x:c r="F83" s="113"/>
      <x:c r="G83" s="113"/>
      <x:c r="H83" s="113"/>
      <x:c r="I83" s="113"/>
      <x:c r="J83" s="113"/>
      <x:c r="K83" s="113"/>
      <x:c r="L83" s="113"/>
      <x:c r="M83" s="113"/>
      <x:c r="N83" s="113"/>
      <x:c r="O83" s="113"/>
    </x:row>
    <x:row r="84">
      <x:c r="A84" s="113"/>
      <x:c r="B84" s="113"/>
      <x:c r="C84" s="113"/>
      <x:c r="D84" s="113"/>
      <x:c r="E84" s="113"/>
      <x:c r="F84" s="113"/>
      <x:c r="G84" s="113"/>
      <x:c r="H84" s="113"/>
      <x:c r="I84" s="113"/>
      <x:c r="J84" s="113"/>
      <x:c r="K84" s="113"/>
      <x:c r="L84" s="113"/>
      <x:c r="M84" s="113"/>
      <x:c r="N84" s="113"/>
      <x:c r="O84" s="113"/>
    </x:row>
    <x:row r="85">
      <x:c r="A85" s="113"/>
      <x:c r="B85" s="113"/>
      <x:c r="C85" s="113"/>
      <x:c r="D85" s="113"/>
      <x:c r="E85" s="113"/>
      <x:c r="F85" s="113"/>
      <x:c r="G85" s="113"/>
      <x:c r="H85" s="113"/>
      <x:c r="I85" s="113"/>
      <x:c r="J85" s="113"/>
      <x:c r="K85" s="113"/>
      <x:c r="L85" s="113"/>
      <x:c r="M85" s="113"/>
      <x:c r="N85" s="113"/>
      <x:c r="O85" s="113"/>
    </x:row>
    <x:row r="86">
      <x:c r="A86" s="113"/>
      <x:c r="B86" s="113"/>
      <x:c r="C86" s="113"/>
      <x:c r="D86" s="113"/>
      <x:c r="E86" s="113"/>
      <x:c r="F86" s="113"/>
      <x:c r="G86" s="113"/>
      <x:c r="H86" s="113"/>
      <x:c r="I86" s="113"/>
      <x:c r="J86" s="113"/>
      <x:c r="K86" s="113"/>
      <x:c r="L86" s="113"/>
      <x:c r="M86" s="113"/>
      <x:c r="N86" s="113"/>
      <x:c r="O86" s="113"/>
    </x:row>
    <x:row r="87">
      <x:c r="A87" s="113"/>
      <x:c r="B87" s="113"/>
      <x:c r="C87" s="113"/>
      <x:c r="D87" s="113"/>
      <x:c r="E87" s="113"/>
      <x:c r="F87" s="113"/>
      <x:c r="G87" s="113"/>
      <x:c r="H87" s="113"/>
      <x:c r="I87" s="113"/>
      <x:c r="J87" s="113"/>
      <x:c r="K87" s="113"/>
      <x:c r="L87" s="113"/>
      <x:c r="M87" s="113"/>
      <x:c r="N87" s="113"/>
      <x:c r="O87" s="113"/>
    </x:row>
    <x:row r="88">
      <x:c r="A88" s="113"/>
      <x:c r="B88" s="113"/>
      <x:c r="C88" s="113"/>
      <x:c r="D88" s="113"/>
      <x:c r="E88" s="113"/>
      <x:c r="F88" s="113"/>
      <x:c r="G88" s="113"/>
      <x:c r="H88" s="113"/>
      <x:c r="I88" s="113"/>
      <x:c r="J88" s="113"/>
      <x:c r="K88" s="113"/>
      <x:c r="L88" s="113"/>
      <x:c r="M88" s="113"/>
      <x:c r="N88" s="113"/>
      <x:c r="O88" s="113"/>
    </x:row>
    <x:row r="89">
      <x:c r="A89" s="113"/>
      <x:c r="B89" s="113"/>
      <x:c r="C89" s="113"/>
      <x:c r="D89" s="113"/>
      <x:c r="E89" s="113"/>
      <x:c r="F89" s="113"/>
      <x:c r="G89" s="113"/>
      <x:c r="H89" s="113"/>
      <x:c r="I89" s="113"/>
      <x:c r="J89" s="113"/>
      <x:c r="K89" s="113"/>
      <x:c r="L89" s="113"/>
      <x:c r="M89" s="113"/>
      <x:c r="N89" s="113"/>
      <x:c r="O89" s="113"/>
    </x:row>
    <x:row r="90">
      <x:c r="A90" s="113"/>
      <x:c r="B90" s="113"/>
      <x:c r="C90" s="113"/>
      <x:c r="D90" s="113"/>
      <x:c r="E90" s="113"/>
      <x:c r="F90" s="113"/>
      <x:c r="G90" s="113"/>
      <x:c r="H90" s="113"/>
      <x:c r="I90" s="113"/>
      <x:c r="J90" s="113"/>
      <x:c r="K90" s="113"/>
      <x:c r="L90" s="113"/>
      <x:c r="M90" s="113"/>
      <x:c r="N90" s="113"/>
      <x:c r="O90" s="113"/>
    </x:row>
    <x:row r="91">
      <x:c r="A91" s="113"/>
      <x:c r="B91" s="113"/>
      <x:c r="C91" s="113"/>
      <x:c r="D91" s="113"/>
      <x:c r="E91" s="113"/>
      <x:c r="F91" s="113"/>
      <x:c r="G91" s="113"/>
      <x:c r="H91" s="113"/>
      <x:c r="I91" s="113"/>
      <x:c r="J91" s="113"/>
      <x:c r="K91" s="113"/>
      <x:c r="L91" s="113"/>
      <x:c r="M91" s="113"/>
      <x:c r="N91" s="113"/>
      <x:c r="O91" s="113"/>
    </x:row>
    <x:row r="92">
      <x:c r="A92" s="113"/>
      <x:c r="B92" s="113"/>
      <x:c r="C92" s="113"/>
      <x:c r="D92" s="113"/>
      <x:c r="E92" s="113"/>
      <x:c r="F92" s="113"/>
      <x:c r="G92" s="113"/>
      <x:c r="H92" s="113"/>
      <x:c r="I92" s="113"/>
      <x:c r="J92" s="113"/>
      <x:c r="K92" s="113"/>
      <x:c r="L92" s="113"/>
      <x:c r="M92" s="113"/>
      <x:c r="N92" s="113"/>
      <x:c r="O92" s="113"/>
    </x:row>
    <x:row r="93">
      <x:c r="A93" s="113"/>
      <x:c r="B93" s="113"/>
      <x:c r="C93" s="113"/>
      <x:c r="D93" s="113"/>
      <x:c r="E93" s="113"/>
      <x:c r="F93" s="113"/>
      <x:c r="G93" s="113"/>
      <x:c r="H93" s="113"/>
      <x:c r="I93" s="113"/>
      <x:c r="J93" s="113"/>
      <x:c r="K93" s="113"/>
      <x:c r="L93" s="113"/>
      <x:c r="M93" s="113"/>
      <x:c r="N93" s="113"/>
      <x:c r="O93" s="113"/>
    </x:row>
    <x:row r="94">
      <x:c r="A94" s="113"/>
      <x:c r="B94" s="113"/>
      <x:c r="C94" s="113"/>
      <x:c r="D94" s="113"/>
      <x:c r="E94" s="113"/>
      <x:c r="F94" s="113"/>
      <x:c r="G94" s="113"/>
      <x:c r="H94" s="113"/>
      <x:c r="I94" s="113"/>
      <x:c r="J94" s="113"/>
      <x:c r="K94" s="113"/>
      <x:c r="L94" s="113"/>
      <x:c r="M94" s="113"/>
      <x:c r="N94" s="113"/>
      <x:c r="O94" s="113"/>
    </x:row>
    <x:row r="95">
      <x:c r="A95" s="113"/>
      <x:c r="B95" s="113"/>
      <x:c r="C95" s="113"/>
      <x:c r="D95" s="113"/>
      <x:c r="E95" s="113"/>
      <x:c r="F95" s="113"/>
      <x:c r="G95" s="113"/>
      <x:c r="H95" s="113"/>
      <x:c r="I95" s="113"/>
      <x:c r="J95" s="113"/>
      <x:c r="K95" s="113"/>
      <x:c r="L95" s="113"/>
      <x:c r="M95" s="113"/>
      <x:c r="N95" s="113"/>
      <x:c r="O95" s="113"/>
    </x:row>
    <x:row r="96">
      <x:c r="A96" s="113"/>
      <x:c r="B96" s="113"/>
      <x:c r="C96" s="113"/>
      <x:c r="D96" s="113"/>
      <x:c r="E96" s="113"/>
      <x:c r="F96" s="113"/>
      <x:c r="G96" s="113"/>
      <x:c r="H96" s="113"/>
      <x:c r="I96" s="113"/>
      <x:c r="J96" s="113"/>
      <x:c r="K96" s="113"/>
      <x:c r="L96" s="113"/>
      <x:c r="M96" s="113"/>
      <x:c r="N96" s="113"/>
      <x:c r="O96" s="113"/>
    </x:row>
    <x:row r="97">
      <x:c r="A97" s="113"/>
      <x:c r="B97" s="113"/>
      <x:c r="C97" s="113"/>
      <x:c r="D97" s="113"/>
      <x:c r="E97" s="113"/>
      <x:c r="F97" s="113"/>
      <x:c r="G97" s="113"/>
      <x:c r="H97" s="113"/>
      <x:c r="I97" s="113"/>
      <x:c r="J97" s="113"/>
      <x:c r="K97" s="113"/>
      <x:c r="L97" s="113"/>
      <x:c r="M97" s="113"/>
      <x:c r="N97" s="113"/>
      <x:c r="O97" s="113"/>
    </x:row>
    <x:row r="98">
      <x:c r="A98" s="113"/>
      <x:c r="B98" s="113"/>
      <x:c r="C98" s="113"/>
      <x:c r="D98" s="113"/>
      <x:c r="E98" s="113"/>
      <x:c r="F98" s="113"/>
      <x:c r="G98" s="113"/>
      <x:c r="H98" s="113"/>
      <x:c r="I98" s="113"/>
      <x:c r="J98" s="113"/>
      <x:c r="K98" s="113"/>
      <x:c r="L98" s="113"/>
      <x:c r="M98" s="113"/>
      <x:c r="N98" s="113"/>
      <x:c r="O98" s="113"/>
    </x:row>
    <x:row r="99">
      <x:c r="A99" s="113"/>
      <x:c r="B99" s="113"/>
      <x:c r="C99" s="113"/>
      <x:c r="D99" s="113"/>
      <x:c r="E99" s="113"/>
      <x:c r="F99" s="113"/>
      <x:c r="G99" s="113"/>
      <x:c r="H99" s="113"/>
      <x:c r="I99" s="113"/>
      <x:c r="J99" s="113"/>
      <x:c r="K99" s="113"/>
      <x:c r="L99" s="113"/>
      <x:c r="M99" s="113"/>
      <x:c r="N99" s="113"/>
      <x:c r="O99" s="113"/>
    </x:row>
    <x:row r="100">
      <x:c r="A100" s="113"/>
      <x:c r="B100" s="113"/>
      <x:c r="C100" s="113"/>
      <x:c r="D100" s="113"/>
      <x:c r="E100" s="113"/>
      <x:c r="F100" s="113"/>
      <x:c r="G100" s="113"/>
      <x:c r="H100" s="113"/>
      <x:c r="I100" s="113"/>
      <x:c r="J100" s="113"/>
      <x:c r="K100" s="113"/>
      <x:c r="L100" s="113"/>
      <x:c r="M100" s="113"/>
      <x:c r="N100" s="113"/>
      <x:c r="O100" s="113"/>
    </x:row>
    <x:row r="101">
      <x:c r="A101" s="113"/>
      <x:c r="B101" s="113"/>
      <x:c r="C101" s="113"/>
      <x:c r="D101" s="113"/>
      <x:c r="E101" s="113"/>
      <x:c r="F101" s="113"/>
      <x:c r="G101" s="113"/>
      <x:c r="H101" s="113"/>
      <x:c r="I101" s="113"/>
      <x:c r="J101" s="113"/>
      <x:c r="K101" s="113"/>
      <x:c r="L101" s="113"/>
      <x:c r="M101" s="113"/>
      <x:c r="N101" s="113"/>
      <x:c r="O101" s="113"/>
    </x:row>
    <x:row r="102">
      <x:c r="A102" s="113"/>
      <x:c r="B102" s="113"/>
      <x:c r="C102" s="113"/>
      <x:c r="D102" s="113"/>
      <x:c r="E102" s="113"/>
      <x:c r="F102" s="113"/>
      <x:c r="G102" s="113"/>
      <x:c r="H102" s="113"/>
      <x:c r="I102" s="113"/>
      <x:c r="J102" s="113"/>
      <x:c r="K102" s="113"/>
      <x:c r="L102" s="113"/>
      <x:c r="M102" s="113"/>
      <x:c r="N102" s="113"/>
      <x:c r="O102" s="113"/>
    </x:row>
    <x:row r="103">
      <x:c r="A103" s="113"/>
      <x:c r="B103" s="113"/>
      <x:c r="C103" s="113"/>
      <x:c r="D103" s="113"/>
      <x:c r="E103" s="113"/>
      <x:c r="F103" s="113"/>
      <x:c r="G103" s="113"/>
      <x:c r="H103" s="113"/>
      <x:c r="I103" s="113"/>
      <x:c r="J103" s="113"/>
      <x:c r="K103" s="113"/>
      <x:c r="L103" s="113"/>
      <x:c r="M103" s="113"/>
      <x:c r="N103" s="113"/>
      <x:c r="O103" s="113"/>
    </x:row>
    <x:row r="104">
      <x:c r="A104" s="113"/>
      <x:c r="B104" s="113"/>
      <x:c r="C104" s="113"/>
      <x:c r="D104" s="113"/>
      <x:c r="E104" s="113"/>
      <x:c r="F104" s="113"/>
      <x:c r="G104" s="113"/>
      <x:c r="H104" s="113"/>
      <x:c r="I104" s="113"/>
      <x:c r="J104" s="113"/>
      <x:c r="K104" s="113"/>
      <x:c r="L104" s="113"/>
      <x:c r="M104" s="113"/>
      <x:c r="N104" s="113"/>
      <x:c r="O104" s="113"/>
    </x:row>
    <x:row r="105">
      <x:c r="A105" s="113"/>
      <x:c r="B105" s="113"/>
      <x:c r="C105" s="113"/>
      <x:c r="D105" s="113"/>
      <x:c r="E105" s="113"/>
      <x:c r="F105" s="113"/>
      <x:c r="G105" s="113"/>
      <x:c r="H105" s="113"/>
      <x:c r="I105" s="113"/>
      <x:c r="J105" s="113"/>
      <x:c r="K105" s="113"/>
      <x:c r="L105" s="113"/>
      <x:c r="M105" s="113"/>
      <x:c r="N105" s="113"/>
      <x:c r="O105" s="113"/>
    </x:row>
    <x:row r="106">
      <x:c r="A106" s="113"/>
      <x:c r="B106" s="113"/>
      <x:c r="C106" s="113"/>
      <x:c r="D106" s="113"/>
      <x:c r="E106" s="113"/>
      <x:c r="F106" s="113"/>
      <x:c r="G106" s="113"/>
      <x:c r="H106" s="113"/>
      <x:c r="I106" s="113"/>
      <x:c r="J106" s="113"/>
      <x:c r="K106" s="113"/>
      <x:c r="L106" s="113"/>
      <x:c r="M106" s="113"/>
      <x:c r="N106" s="113"/>
      <x:c r="O106" s="113"/>
    </x:row>
    <x:row r="107">
      <x:c r="A107" s="113"/>
      <x:c r="B107" s="113"/>
      <x:c r="C107" s="113"/>
      <x:c r="D107" s="113"/>
      <x:c r="E107" s="113"/>
      <x:c r="F107" s="113"/>
      <x:c r="G107" s="113"/>
      <x:c r="H107" s="113"/>
      <x:c r="I107" s="113"/>
      <x:c r="J107" s="113"/>
      <x:c r="K107" s="113"/>
      <x:c r="L107" s="113"/>
      <x:c r="M107" s="113"/>
      <x:c r="N107" s="113"/>
      <x:c r="O107" s="113"/>
    </x:row>
    <x:row r="108">
      <x:c r="A108" s="113"/>
      <x:c r="B108" s="113"/>
      <x:c r="C108" s="113"/>
      <x:c r="D108" s="113"/>
      <x:c r="E108" s="113"/>
      <x:c r="F108" s="113"/>
      <x:c r="G108" s="113"/>
      <x:c r="H108" s="113"/>
      <x:c r="I108" s="113"/>
      <x:c r="J108" s="113"/>
      <x:c r="K108" s="113"/>
      <x:c r="L108" s="113"/>
      <x:c r="M108" s="113"/>
      <x:c r="N108" s="113"/>
      <x:c r="O108" s="113"/>
    </x:row>
    <x:row r="109">
      <x:c r="A109" s="113"/>
      <x:c r="B109" s="113"/>
      <x:c r="C109" s="113"/>
      <x:c r="D109" s="113"/>
      <x:c r="E109" s="113"/>
      <x:c r="F109" s="113"/>
      <x:c r="G109" s="113"/>
      <x:c r="H109" s="113"/>
      <x:c r="I109" s="113"/>
      <x:c r="J109" s="113"/>
      <x:c r="K109" s="113"/>
      <x:c r="L109" s="113"/>
      <x:c r="M109" s="113"/>
      <x:c r="N109" s="113"/>
      <x:c r="O109" s="113"/>
    </x:row>
    <x:row r="110">
      <x:c r="A110" s="113"/>
      <x:c r="B110" s="113"/>
      <x:c r="C110" s="113"/>
      <x:c r="D110" s="113"/>
      <x:c r="E110" s="113"/>
      <x:c r="F110" s="113"/>
      <x:c r="G110" s="113"/>
      <x:c r="H110" s="113"/>
      <x:c r="I110" s="113"/>
      <x:c r="J110" s="113"/>
      <x:c r="K110" s="113"/>
      <x:c r="L110" s="113"/>
      <x:c r="M110" s="113"/>
      <x:c r="N110" s="113"/>
      <x:c r="O110" s="113"/>
    </x:row>
    <x:row r="111">
      <x:c r="A111" s="113"/>
      <x:c r="B111" s="113"/>
      <x:c r="C111" s="113"/>
      <x:c r="D111" s="113"/>
      <x:c r="E111" s="113"/>
      <x:c r="F111" s="113"/>
      <x:c r="G111" s="113"/>
      <x:c r="H111" s="113"/>
      <x:c r="I111" s="113"/>
      <x:c r="J111" s="113"/>
      <x:c r="K111" s="113"/>
      <x:c r="L111" s="113"/>
      <x:c r="M111" s="113"/>
      <x:c r="N111" s="113"/>
      <x:c r="O111" s="113"/>
    </x:row>
    <x:row r="112">
      <x:c r="A112" s="113"/>
      <x:c r="B112" s="113"/>
      <x:c r="C112" s="113"/>
      <x:c r="D112" s="113"/>
      <x:c r="E112" s="113"/>
      <x:c r="F112" s="113"/>
      <x:c r="G112" s="113"/>
      <x:c r="H112" s="113"/>
      <x:c r="I112" s="113"/>
      <x:c r="J112" s="113"/>
      <x:c r="K112" s="113"/>
      <x:c r="L112" s="113"/>
      <x:c r="M112" s="113"/>
      <x:c r="N112" s="113"/>
      <x:c r="O112" s="113"/>
    </x:row>
    <x:row r="113">
      <x:c r="A113" s="113"/>
      <x:c r="B113" s="113"/>
      <x:c r="C113" s="113"/>
      <x:c r="D113" s="113"/>
      <x:c r="E113" s="113"/>
      <x:c r="F113" s="113"/>
      <x:c r="G113" s="113"/>
      <x:c r="H113" s="113"/>
      <x:c r="I113" s="113"/>
      <x:c r="J113" s="113"/>
      <x:c r="K113" s="113"/>
      <x:c r="L113" s="113"/>
      <x:c r="M113" s="113"/>
      <x:c r="N113" s="113"/>
      <x:c r="O113" s="113"/>
    </x:row>
    <x:row r="114">
      <x:c r="A114" s="113"/>
      <x:c r="B114" s="113"/>
      <x:c r="C114" s="113"/>
      <x:c r="D114" s="113"/>
      <x:c r="E114" s="113"/>
      <x:c r="F114" s="113"/>
      <x:c r="G114" s="113"/>
      <x:c r="H114" s="113"/>
      <x:c r="I114" s="113"/>
      <x:c r="J114" s="113"/>
      <x:c r="K114" s="113"/>
      <x:c r="L114" s="113"/>
      <x:c r="M114" s="113"/>
      <x:c r="N114" s="113"/>
      <x:c r="O114" s="113"/>
    </x:row>
    <x:row r="115">
      <x:c r="A115" s="113"/>
      <x:c r="B115" s="113"/>
      <x:c r="C115" s="113"/>
      <x:c r="D115" s="113"/>
      <x:c r="E115" s="113"/>
      <x:c r="F115" s="113"/>
      <x:c r="G115" s="113"/>
      <x:c r="H115" s="113"/>
      <x:c r="I115" s="113"/>
      <x:c r="J115" s="113"/>
      <x:c r="K115" s="113"/>
      <x:c r="L115" s="113"/>
      <x:c r="M115" s="113"/>
      <x:c r="N115" s="113"/>
      <x:c r="O115" s="113"/>
    </x:row>
    <x:row r="116">
      <x:c r="A116" s="113"/>
      <x:c r="B116" s="113"/>
      <x:c r="C116" s="113"/>
      <x:c r="D116" s="113"/>
      <x:c r="E116" s="113"/>
      <x:c r="F116" s="113"/>
      <x:c r="G116" s="113"/>
      <x:c r="H116" s="113"/>
      <x:c r="I116" s="113"/>
      <x:c r="J116" s="113"/>
      <x:c r="K116" s="113"/>
      <x:c r="L116" s="113"/>
      <x:c r="M116" s="113"/>
      <x:c r="N116" s="113"/>
      <x:c r="O116" s="113"/>
    </x:row>
    <x:row r="117">
      <x:c r="A117" s="113"/>
      <x:c r="B117" s="113"/>
      <x:c r="C117" s="113"/>
      <x:c r="D117" s="113"/>
      <x:c r="E117" s="113"/>
      <x:c r="F117" s="113"/>
      <x:c r="G117" s="113"/>
      <x:c r="H117" s="113"/>
      <x:c r="I117" s="113"/>
      <x:c r="J117" s="113"/>
      <x:c r="K117" s="113"/>
      <x:c r="L117" s="113"/>
      <x:c r="M117" s="113"/>
      <x:c r="N117" s="113"/>
      <x:c r="O117" s="113"/>
    </x:row>
    <x:row r="118">
      <x:c r="A118" s="113"/>
      <x:c r="B118" s="113"/>
      <x:c r="C118" s="113"/>
      <x:c r="D118" s="113"/>
      <x:c r="E118" s="113"/>
      <x:c r="F118" s="113"/>
      <x:c r="G118" s="113"/>
      <x:c r="H118" s="113"/>
      <x:c r="I118" s="113"/>
      <x:c r="J118" s="113"/>
      <x:c r="K118" s="113"/>
      <x:c r="L118" s="113"/>
      <x:c r="M118" s="113"/>
      <x:c r="N118" s="113"/>
      <x:c r="O118" s="113"/>
    </x:row>
    <x:row r="119">
      <x:c r="A119" s="113"/>
      <x:c r="B119" s="113"/>
      <x:c r="C119" s="113"/>
      <x:c r="D119" s="113"/>
      <x:c r="E119" s="113"/>
      <x:c r="F119" s="113"/>
      <x:c r="G119" s="113"/>
      <x:c r="H119" s="113"/>
      <x:c r="I119" s="113"/>
      <x:c r="J119" s="113"/>
      <x:c r="K119" s="113"/>
      <x:c r="L119" s="113"/>
      <x:c r="M119" s="113"/>
      <x:c r="N119" s="113"/>
      <x:c r="O119" s="113"/>
    </x:row>
    <x:row r="120">
      <x:c r="A120" s="113"/>
      <x:c r="B120" s="113"/>
      <x:c r="C120" s="113"/>
      <x:c r="D120" s="113"/>
      <x:c r="E120" s="113"/>
      <x:c r="F120" s="113"/>
      <x:c r="G120" s="113"/>
      <x:c r="H120" s="113"/>
      <x:c r="I120" s="113"/>
      <x:c r="J120" s="113"/>
      <x:c r="K120" s="113"/>
      <x:c r="L120" s="113"/>
      <x:c r="M120" s="113"/>
      <x:c r="N120" s="113"/>
      <x:c r="O120" s="113"/>
    </x:row>
  </x:sheetData>
  <x:mergeCells>
    <x:mergeCell ref="A1:L1"/>
    <x:mergeCell ref="A2:L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12" hidden="0" customWidth="1"/>
    <x:col min="4" max="4" width="12" hidden="0" customWidth="1"/>
    <x:col min="5" max="5" width="12" hidden="0" customWidth="1"/>
    <x:col min="6" max="6" width="26" hidden="0" customWidth="1"/>
    <x:col min="7" max="7" width="14" hidden="0" customWidth="1"/>
    <x:col min="8" max="8" width="18" hidden="0" customWidth="1"/>
    <x:col min="9" max="9" width="34" hidden="0" customWidth="1"/>
    <x:col min="10" max="10" width="34" hidden="0" customWidth="1"/>
    <x:col min="11" max="11" width="10" hidden="0" customWidth="1"/>
    <x:col min="12" max="12" width="34" hidden="0" customWidth="1"/>
  </x:cols>
  <x:sheetData>
    <x:row r="1" ht="28" customHeight="1">
      <x:c r="A1" s="77" t="str">
        <x:v>生产中心与灾备中心服务器规划（推荐企业级方案）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113"/>
      <x:c r="N1" s="113"/>
      <x:c r="O1" s="113"/>
    </x:row>
    <x:row r="2" ht="24" customHeight="1">
      <x:c r="A2" s="114" t="str">
        <x:v>配置为建设级参考。对象存储、Kafka、OpenSearch和数据库优先采用独立资源池；严禁把所有有状态组件压在同一小型Kubernetes集群形成共同故障点。</x:v>
      </x:c>
      <x:c r="B2" s="114"/>
      <x:c r="C2" s="114"/>
      <x:c r="D2" s="114"/>
      <x:c r="E2" s="114"/>
      <x:c r="F2" s="114"/>
      <x:c r="G2" s="114"/>
      <x:c r="H2" s="114"/>
      <x:c r="I2" s="114"/>
      <x:c r="J2" s="114"/>
      <x:c r="K2" s="114"/>
      <x:c r="L2" s="114"/>
      <x:c r="M2" s="113"/>
      <x:c r="N2" s="113"/>
      <x:c r="O2" s="113"/>
    </x:row>
    <x:row r="3" ht="24" customHeight="1">
      <x:c r="A3" s="114"/>
      <x:c r="B3" s="114"/>
      <x:c r="C3" s="114"/>
      <x:c r="D3" s="114"/>
      <x:c r="E3" s="114"/>
      <x:c r="F3" s="114"/>
      <x:c r="G3" s="114"/>
      <x:c r="H3" s="114"/>
      <x:c r="I3" s="114"/>
      <x:c r="J3" s="114"/>
      <x:c r="K3" s="114"/>
      <x:c r="L3" s="114"/>
      <x:c r="M3" s="113"/>
      <x:c r="N3" s="113"/>
      <x:c r="O3" s="113"/>
    </x:row>
    <x:row r="4">
      <x:c r="A4" s="113"/>
      <x:c r="B4" s="113"/>
      <x:c r="C4" s="113"/>
      <x:c r="D4" s="113"/>
      <x:c r="E4" s="113"/>
      <x:c r="F4" s="113"/>
      <x:c r="G4" s="113"/>
      <x:c r="H4" s="113"/>
      <x:c r="I4" s="113"/>
      <x:c r="J4" s="113"/>
      <x:c r="K4" s="113"/>
      <x:c r="L4" s="113"/>
      <x:c r="M4" s="113"/>
      <x:c r="N4" s="113"/>
      <x:c r="O4" s="113"/>
    </x:row>
    <x:row r="5">
      <x:c r="A5" s="80" t="str">
        <x:v>区域</x:v>
      </x:c>
      <x:c r="B5" s="81" t="str">
        <x:v>组件/角色</x:v>
      </x:c>
      <x:c r="C5" s="81" t="str">
        <x:v>节点数</x:v>
      </x:c>
      <x:c r="D5" s="81" t="str">
        <x:v>单节点CPU核</x:v>
      </x:c>
      <x:c r="E5" s="81" t="str">
        <x:v>单节点内存GB</x:v>
      </x:c>
      <x:c r="F5" s="81" t="str">
        <x:v>本地盘/节点</x:v>
      </x:c>
      <x:c r="G5" s="81" t="str">
        <x:v>网络</x:v>
      </x:c>
      <x:c r="H5" s="81" t="str">
        <x:v>部署方式</x:v>
      </x:c>
      <x:c r="I5" s="81" t="str">
        <x:v>HA关键点</x:v>
      </x:c>
      <x:c r="J5" s="81" t="str">
        <x:v>灾备配置</x:v>
      </x:c>
      <x:c r="K5" s="81" t="str">
        <x:v>优先级</x:v>
      </x:c>
      <x:c r="L5" s="82" t="str">
        <x:v>备注</x:v>
      </x:c>
      <x:c r="M5" s="113"/>
      <x:c r="N5" s="113"/>
      <x:c r="O5" s="113"/>
    </x:row>
    <x:row r="6">
      <x:c r="A6" s="115" t="str">
        <x:v>生产</x:v>
      </x:c>
      <x:c r="B6" s="116" t="str">
        <x:v>Kubernetes控制面</x:v>
      </x:c>
      <x:c r="C6" s="116" t="n">
        <x:v>3</x:v>
      </x:c>
      <x:c r="D6" s="116" t="n">
        <x:v>16</x:v>
      </x:c>
      <x:c r="E6" s="116" t="n">
        <x:v>64</x:v>
      </x:c>
      <x:c r="F6" s="116" t="str">
        <x:v>2×960GB SSD</x:v>
      </x:c>
      <x:c r="G6" s="116" t="str">
        <x:v>双25GbE</x:v>
      </x:c>
      <x:c r="H6" s="116" t="str">
        <x:v>物理/虚拟机</x:v>
      </x:c>
      <x:c r="I6" s="116" t="str">
        <x:v>跨机架、etcd快照、API VIP</x:v>
      </x:c>
      <x:c r="J6" s="116" t="str">
        <x:v>灾备3节点</x:v>
      </x:c>
      <x:c r="K6" s="116" t="str">
        <x:v>P0</x:v>
      </x:c>
      <x:c r="L6" s="119" t="str">
        <x:v>不承载普通业务Pod</x:v>
      </x:c>
      <x:c r="M6" s="113"/>
      <x:c r="N6" s="113"/>
      <x:c r="O6" s="113"/>
    </x:row>
    <x:row r="7">
      <x:c r="A7" s="115" t="str">
        <x:v>生产</x:v>
      </x:c>
      <x:c r="B7" s="116" t="str">
        <x:v>Kubernetes通用Worker</x:v>
      </x:c>
      <x:c r="C7" s="116" t="n">
        <x:v>8</x:v>
      </x:c>
      <x:c r="D7" s="116" t="n">
        <x:v>32</x:v>
      </x:c>
      <x:c r="E7" s="116" t="n">
        <x:v>128</x:v>
      </x:c>
      <x:c r="F7" s="116" t="str">
        <x:v>2×1.92TB NVMe</x:v>
      </x:c>
      <x:c r="G7" s="116" t="str">
        <x:v>双25GbE</x:v>
      </x:c>
      <x:c r="H7" s="116" t="str">
        <x:v>裸金属优先</x:v>
      </x:c>
      <x:c r="I7" s="116" t="str">
        <x:v>反亲和、PDB、HPA</x:v>
      </x:c>
      <x:c r="J7" s="116" t="str">
        <x:v>灾备4-6节点</x:v>
      </x:c>
      <x:c r="K7" s="116" t="str">
        <x:v>P0</x:v>
      </x:c>
      <x:c r="L7" s="119" t="str">
        <x:v>MDM/API/治理应用</x:v>
      </x:c>
      <x:c r="M7" s="113"/>
      <x:c r="N7" s="113"/>
      <x:c r="O7" s="113"/>
    </x:row>
    <x:row r="8">
      <x:c r="A8" s="115" t="str">
        <x:v>生产</x:v>
      </x:c>
      <x:c r="B8" s="116" t="str">
        <x:v>Kubernetes计算Worker</x:v>
      </x:c>
      <x:c r="C8" s="116" t="n">
        <x:v>4</x:v>
      </x:c>
      <x:c r="D8" s="116" t="n">
        <x:v>64</x:v>
      </x:c>
      <x:c r="E8" s="116" t="n">
        <x:v>256</x:v>
      </x:c>
      <x:c r="F8" s="116" t="str">
        <x:v>2×3.84TB NVMe</x:v>
      </x:c>
      <x:c r="G8" s="116" t="str">
        <x:v>双25/100GbE</x:v>
      </x:c>
      <x:c r="H8" s="116" t="str">
        <x:v>裸金属</x:v>
      </x:c>
      <x:c r="I8" s="116" t="str">
        <x:v>批任务与在线服务隔离</x:v>
      </x:c>
      <x:c r="J8" s="116" t="str">
        <x:v>灾备2-4节点</x:v>
      </x:c>
      <x:c r="K8" s="116" t="str">
        <x:v>P1</x:v>
      </x:c>
      <x:c r="L8" s="119" t="str">
        <x:v>Spark/Flink/匹配任务</x:v>
      </x:c>
      <x:c r="M8" s="113"/>
      <x:c r="N8" s="113"/>
      <x:c r="O8" s="113"/>
    </x:row>
    <x:row r="9">
      <x:c r="A9" s="115" t="str">
        <x:v>生产</x:v>
      </x:c>
      <x:c r="B9" s="116" t="str">
        <x:v>KRaft Controller</x:v>
      </x:c>
      <x:c r="C9" s="116" t="n">
        <x:v>3</x:v>
      </x:c>
      <x:c r="D9" s="116" t="n">
        <x:v>8</x:v>
      </x:c>
      <x:c r="E9" s="116" t="n">
        <x:v>32</x:v>
      </x:c>
      <x:c r="F9" s="116" t="str">
        <x:v>500GB SSD</x:v>
      </x:c>
      <x:c r="G9" s="116" t="str">
        <x:v>双10/25GbE</x:v>
      </x:c>
      <x:c r="H9" s="116" t="str">
        <x:v>独立节点/VM</x:v>
      </x:c>
      <x:c r="I9" s="116" t="str">
        <x:v>3或5控制器、与Broker分离</x:v>
      </x:c>
      <x:c r="J9" s="116" t="str">
        <x:v>灾备3节点</x:v>
      </x:c>
      <x:c r="K9" s="116" t="str">
        <x:v>P0</x:v>
      </x:c>
      <x:c r="L9" s="119" t="str">
        <x:v>关键环境不使用combined模式</x:v>
      </x:c>
      <x:c r="M9" s="113"/>
      <x:c r="N9" s="113"/>
      <x:c r="O9" s="113"/>
    </x:row>
    <x:row r="10">
      <x:c r="A10" s="115" t="str">
        <x:v>生产</x:v>
      </x:c>
      <x:c r="B10" s="116" t="str">
        <x:v>Kafka Broker</x:v>
      </x:c>
      <x:c r="C10" s="116" t="n">
        <x:v>5</x:v>
      </x:c>
      <x:c r="D10" s="116" t="n">
        <x:v>32</x:v>
      </x:c>
      <x:c r="E10" s="116" t="n">
        <x:v>128</x:v>
      </x:c>
      <x:c r="F10" s="116" t="str">
        <x:v>8-12TB NVMe/SSD</x:v>
      </x:c>
      <x:c r="G10" s="116" t="str">
        <x:v>双25GbE</x:v>
      </x:c>
      <x:c r="H10" s="116" t="str">
        <x:v>独立节点</x:v>
      </x:c>
      <x:c r="I10" s="116" t="str">
        <x:v>RF=3、minISR=2、acks=all</x:v>
      </x:c>
      <x:c r="J10" s="116" t="str">
        <x:v>灾备3节点+镜像</x:v>
      </x:c>
      <x:c r="K10" s="116" t="str">
        <x:v>P0</x:v>
      </x:c>
      <x:c r="L10" s="119" t="str">
        <x:v>按吞吐压测调整磁盘</x:v>
      </x:c>
      <x:c r="M10" s="113"/>
      <x:c r="N10" s="113"/>
      <x:c r="O10" s="113"/>
    </x:row>
    <x:row r="11">
      <x:c r="A11" s="115" t="str">
        <x:v>生产</x:v>
      </x:c>
      <x:c r="B11" s="116" t="str">
        <x:v>NiFi集群</x:v>
      </x:c>
      <x:c r="C11" s="116" t="n">
        <x:v>3</x:v>
      </x:c>
      <x:c r="D11" s="116" t="n">
        <x:v>24</x:v>
      </x:c>
      <x:c r="E11" s="116" t="n">
        <x:v>96</x:v>
      </x:c>
      <x:c r="F11" s="116" t="str">
        <x:v>4TB NVMe</x:v>
      </x:c>
      <x:c r="G11" s="116" t="str">
        <x:v>双25GbE</x:v>
      </x:c>
      <x:c r="H11" s="116" t="str">
        <x:v>独立或专用Worker</x:v>
      </x:c>
      <x:c r="I11" s="116" t="str">
        <x:v>Cluster+LB、队列背压、Flow版本化</x:v>
      </x:c>
      <x:c r="J11" s="116" t="str">
        <x:v>灾备3节点</x:v>
      </x:c>
      <x:c r="K11" s="116" t="str">
        <x:v>P0</x:v>
      </x:c>
      <x:c r="L11" s="119" t="str">
        <x:v>内容库/Provenance磁盘隔离</x:v>
      </x:c>
      <x:c r="M11" s="113"/>
      <x:c r="N11" s="113"/>
      <x:c r="O11" s="113"/>
    </x:row>
    <x:row r="12">
      <x:c r="A12" s="115" t="str">
        <x:v>生产</x:v>
      </x:c>
      <x:c r="B12" s="116" t="str">
        <x:v>SeaTunnel/批量同步</x:v>
      </x:c>
      <x:c r="C12" s="116" t="n">
        <x:v>3</x:v>
      </x:c>
      <x:c r="D12" s="116" t="n">
        <x:v>24</x:v>
      </x:c>
      <x:c r="E12" s="116" t="n">
        <x:v>96</x:v>
      </x:c>
      <x:c r="F12" s="116" t="str">
        <x:v>2TB NVMe</x:v>
      </x:c>
      <x:c r="G12" s="116" t="str">
        <x:v>双25GbE</x:v>
      </x:c>
      <x:c r="H12" s="116" t="str">
        <x:v>K8s/独立</x:v>
      </x:c>
      <x:c r="I12" s="116" t="str">
        <x:v>作业重试、分片、资源队列</x:v>
      </x:c>
      <x:c r="J12" s="116" t="str">
        <x:v>灾备2节点</x:v>
      </x:c>
      <x:c r="K12" s="116" t="str">
        <x:v>P1</x:v>
      </x:c>
      <x:c r="L12" s="119" t="str">
        <x:v>大回灌与在线CDC隔离</x:v>
      </x:c>
      <x:c r="M12" s="113"/>
      <x:c r="N12" s="113"/>
      <x:c r="O12" s="113"/>
    </x:row>
    <x:row r="13">
      <x:c r="A13" s="115" t="str">
        <x:v>生产</x:v>
      </x:c>
      <x:c r="B13" s="116" t="str">
        <x:v>PostgreSQL Patroni</x:v>
      </x:c>
      <x:c r="C13" s="116" t="n">
        <x:v>3</x:v>
      </x:c>
      <x:c r="D13" s="116" t="n">
        <x:v>32</x:v>
      </x:c>
      <x:c r="E13" s="116" t="n">
        <x:v>128</x:v>
      </x:c>
      <x:c r="F13" s="116" t="str">
        <x:v>2×3.84TB NVMe RAID10</x:v>
      </x:c>
      <x:c r="G13" s="116" t="str">
        <x:v>双25GbE</x:v>
      </x:c>
      <x:c r="H13" s="116" t="str">
        <x:v>独立节点</x:v>
      </x:c>
      <x:c r="I13" s="116" t="str">
        <x:v>1主2备、本地同步、fencing</x:v>
      </x:c>
      <x:c r="J13" s="116" t="str">
        <x:v>灾备3节点异步</x:v>
      </x:c>
      <x:c r="K13" s="116" t="str">
        <x:v>P0</x:v>
      </x:c>
      <x:c r="L13" s="119" t="str">
        <x:v>业务、元数据可分实例</x:v>
      </x:c>
      <x:c r="M13" s="113"/>
      <x:c r="N13" s="113"/>
      <x:c r="O13" s="113"/>
    </x:row>
    <x:row r="14">
      <x:c r="A14" s="115" t="str">
        <x:v>生产</x:v>
      </x:c>
      <x:c r="B14" s="116" t="str">
        <x:v>Patroni DCS/etcd</x:v>
      </x:c>
      <x:c r="C14" s="116" t="n">
        <x:v>3</x:v>
      </x:c>
      <x:c r="D14" s="116" t="n">
        <x:v>4</x:v>
      </x:c>
      <x:c r="E14" s="116" t="n">
        <x:v>16</x:v>
      </x:c>
      <x:c r="F14" s="116" t="str">
        <x:v>200GB SSD</x:v>
      </x:c>
      <x:c r="G14" s="116" t="str">
        <x:v>双10GbE</x:v>
      </x:c>
      <x:c r="H14" s="116" t="str">
        <x:v>独立小节点</x:v>
      </x:c>
      <x:c r="I14" s="116" t="str">
        <x:v>奇数仲裁、低延迟</x:v>
      </x:c>
      <x:c r="J14" s="116" t="str">
        <x:v>灾备3节点</x:v>
      </x:c>
      <x:c r="K14" s="116" t="str">
        <x:v>P0</x:v>
      </x:c>
      <x:c r="L14" s="119" t="str">
        <x:v>不与K8s etcd混用</x:v>
      </x:c>
      <x:c r="M14" s="113"/>
      <x:c r="N14" s="113"/>
      <x:c r="O14" s="113"/>
    </x:row>
    <x:row r="15">
      <x:c r="A15" s="115" t="str">
        <x:v>生产</x:v>
      </x:c>
      <x:c r="B15" s="116" t="str">
        <x:v>OpenSearch Cluster Manager</x:v>
      </x:c>
      <x:c r="C15" s="116" t="n">
        <x:v>3</x:v>
      </x:c>
      <x:c r="D15" s="116" t="n">
        <x:v>8</x:v>
      </x:c>
      <x:c r="E15" s="116" t="n">
        <x:v>32</x:v>
      </x:c>
      <x:c r="F15" s="116" t="str">
        <x:v>500GB SSD</x:v>
      </x:c>
      <x:c r="G15" s="116" t="str">
        <x:v>双25GbE</x:v>
      </x:c>
      <x:c r="H15" s="116" t="str">
        <x:v>独立/专用Worker</x:v>
      </x:c>
      <x:c r="I15" s="116" t="str">
        <x:v>只做管理节点</x:v>
      </x:c>
      <x:c r="J15" s="116" t="str">
        <x:v>灾备3节点</x:v>
      </x:c>
      <x:c r="K15" s="116" t="str">
        <x:v>P0</x:v>
      </x:c>
      <x:c r="L15" s="119" t="str">
        <x:v>禁止承载数据分片</x:v>
      </x:c>
      <x:c r="M15" s="113"/>
      <x:c r="N15" s="113"/>
      <x:c r="O15" s="113"/>
    </x:row>
    <x:row r="16">
      <x:c r="A16" s="115" t="str">
        <x:v>生产</x:v>
      </x:c>
      <x:c r="B16" s="116" t="str">
        <x:v>OpenSearch Data</x:v>
      </x:c>
      <x:c r="C16" s="116" t="n">
        <x:v>5</x:v>
      </x:c>
      <x:c r="D16" s="116" t="n">
        <x:v>32</x:v>
      </x:c>
      <x:c r="E16" s="116" t="n">
        <x:v>128</x:v>
      </x:c>
      <x:c r="F16" s="116" t="str">
        <x:v>8TB NVMe</x:v>
      </x:c>
      <x:c r="G16" s="116" t="str">
        <x:v>双25GbE</x:v>
      </x:c>
      <x:c r="H16" s="116" t="str">
        <x:v>独立节点</x:v>
      </x:c>
      <x:c r="I16" s="116" t="str">
        <x:v>1+副本、分片均衡、快照</x:v>
      </x:c>
      <x:c r="J16" s="116" t="str">
        <x:v>灾备3节点</x:v>
      </x:c>
      <x:c r="K16" s="116" t="str">
        <x:v>P0</x:v>
      </x:c>
      <x:c r="L16" s="119" t="str">
        <x:v>审计与目录索引分层</x:v>
      </x:c>
      <x:c r="M16" s="113"/>
      <x:c r="N16" s="113"/>
      <x:c r="O16" s="113"/>
    </x:row>
    <x:row r="17">
      <x:c r="A17" s="115" t="str">
        <x:v>生产</x:v>
      </x:c>
      <x:c r="B17" s="116" t="str">
        <x:v>Ceph对象存储</x:v>
      </x:c>
      <x:c r="C17" s="116" t="n">
        <x:v>8</x:v>
      </x:c>
      <x:c r="D17" s="116" t="n">
        <x:v>24</x:v>
      </x:c>
      <x:c r="E17" s="116" t="n">
        <x:v>128</x:v>
      </x:c>
      <x:c r="F17" s="116" t="str">
        <x:v>12×18TB HDD+2×3.84TB NVMe</x:v>
      </x:c>
      <x:c r="G17" s="116" t="str">
        <x:v>双25/100GbE</x:v>
      </x:c>
      <x:c r="H17" s="116" t="str">
        <x:v>裸金属</x:v>
      </x:c>
      <x:c r="I17" s="116" t="str">
        <x:v>跨机架CRUSH、EC/副本分池</x:v>
      </x:c>
      <x:c r="J17" s="116" t="str">
        <x:v>灾备6节点/Multisite</x:v>
      </x:c>
      <x:c r="K17" s="116" t="str">
        <x:v>P0</x:v>
      </x:c>
      <x:c r="L17" s="119" t="str">
        <x:v>建议与PACS归档边界分清</x:v>
      </x:c>
      <x:c r="M17" s="113"/>
      <x:c r="N17" s="113"/>
      <x:c r="O17" s="113"/>
    </x:row>
    <x:row r="18">
      <x:c r="A18" s="115" t="str">
        <x:v>生产</x:v>
      </x:c>
      <x:c r="B18" s="116" t="str">
        <x:v>Trino Coordinator</x:v>
      </x:c>
      <x:c r="C18" s="116" t="n">
        <x:v>2</x:v>
      </x:c>
      <x:c r="D18" s="116" t="n">
        <x:v>16</x:v>
      </x:c>
      <x:c r="E18" s="116" t="n">
        <x:v>64</x:v>
      </x:c>
      <x:c r="F18" s="116" t="str">
        <x:v>1TB SSD</x:v>
      </x:c>
      <x:c r="G18" s="116" t="str">
        <x:v>双25GbE</x:v>
      </x:c>
      <x:c r="H18" s="116" t="str">
        <x:v>K8s/VM</x:v>
      </x:c>
      <x:c r="I18" s="116" t="str">
        <x:v>LB+客户端重试</x:v>
      </x:c>
      <x:c r="J18" s="116" t="str">
        <x:v>灾备2节点</x:v>
      </x:c>
      <x:c r="K18" s="116" t="str">
        <x:v>P1</x:v>
      </x:c>
      <x:c r="L18" s="119" t="str">
        <x:v>运行中查询不保证透明接管</x:v>
      </x:c>
      <x:c r="M18" s="113"/>
      <x:c r="N18" s="113"/>
      <x:c r="O18" s="113"/>
    </x:row>
    <x:row r="19">
      <x:c r="A19" s="115" t="str">
        <x:v>生产</x:v>
      </x:c>
      <x:c r="B19" s="116" t="str">
        <x:v>Trino Worker</x:v>
      </x:c>
      <x:c r="C19" s="116" t="n">
        <x:v>6</x:v>
      </x:c>
      <x:c r="D19" s="116" t="n">
        <x:v>48</x:v>
      </x:c>
      <x:c r="E19" s="116" t="n">
        <x:v>256</x:v>
      </x:c>
      <x:c r="F19" s="116" t="str">
        <x:v>2×3.84TB NVMe</x:v>
      </x:c>
      <x:c r="G19" s="116" t="str">
        <x:v>双25/100GbE</x:v>
      </x:c>
      <x:c r="H19" s="116" t="str">
        <x:v>裸金属/专用Worker</x:v>
      </x:c>
      <x:c r="I19" s="116" t="str">
        <x:v>无状态扩展、资源组</x:v>
      </x:c>
      <x:c r="J19" s="116" t="str">
        <x:v>灾备3节点</x:v>
      </x:c>
      <x:c r="K19" s="116" t="str">
        <x:v>P1</x:v>
      </x:c>
      <x:c r="L19" s="119" t="str">
        <x:v>按并发和扫描量扩容</x:v>
      </x:c>
      <x:c r="M19" s="113"/>
      <x:c r="N19" s="113"/>
      <x:c r="O19" s="113"/>
    </x:row>
    <x:row r="20">
      <x:c r="A20" s="115" t="str">
        <x:v>生产</x:v>
      </x:c>
      <x:c r="B20" s="116" t="str">
        <x:v>负载均衡/API网关</x:v>
      </x:c>
      <x:c r="C20" s="116" t="n">
        <x:v>2</x:v>
      </x:c>
      <x:c r="D20" s="116" t="n">
        <x:v>16</x:v>
      </x:c>
      <x:c r="E20" s="116" t="n">
        <x:v>32</x:v>
      </x:c>
      <x:c r="F20" s="116" t="str">
        <x:v>500GB SSD</x:v>
      </x:c>
      <x:c r="G20" s="116" t="str">
        <x:v>双10/25GbE</x:v>
      </x:c>
      <x:c r="H20" s="116" t="str">
        <x:v>物理/VM/K8s</x:v>
      </x:c>
      <x:c r="I20" s="116" t="str">
        <x:v>Active-Active、mTLS、限流</x:v>
      </x:c>
      <x:c r="J20" s="116" t="str">
        <x:v>灾备2节点</x:v>
      </x:c>
      <x:c r="K20" s="116" t="str">
        <x:v>P0</x:v>
      </x:c>
      <x:c r="L20" s="119" t="str">
        <x:v>APISIX+外部LB</x:v>
      </x:c>
      <x:c r="M20" s="113"/>
      <x:c r="N20" s="113"/>
      <x:c r="O20" s="113"/>
    </x:row>
    <x:row r="21">
      <x:c r="A21" s="115" t="str">
        <x:v>生产</x:v>
      </x:c>
      <x:c r="B21" s="116" t="str">
        <x:v>监控/日志/堡垒/Git/Harbor</x:v>
      </x:c>
      <x:c r="C21" s="116" t="n">
        <x:v>4</x:v>
      </x:c>
      <x:c r="D21" s="116" t="n">
        <x:v>24</x:v>
      </x:c>
      <x:c r="E21" s="116" t="n">
        <x:v>96</x:v>
      </x:c>
      <x:c r="F21" s="116" t="str">
        <x:v>4TB SSD</x:v>
      </x:c>
      <x:c r="G21" s="116" t="str">
        <x:v>双25GbE</x:v>
      </x:c>
      <x:c r="H21" s="116" t="str">
        <x:v>独立/管理集群</x:v>
      </x:c>
      <x:c r="I21" s="116" t="str">
        <x:v>管理面与数据面隔离</x:v>
      </x:c>
      <x:c r="J21" s="116" t="str">
        <x:v>灾备2-3节点</x:v>
      </x:c>
      <x:c r="K21" s="116" t="str">
        <x:v>P0</x:v>
      </x:c>
      <x:c r="L21" s="119" t="str">
        <x:v>SBOM、签名、审计</x:v>
      </x:c>
      <x:c r="M21" s="113"/>
      <x:c r="N21" s="113"/>
      <x:c r="O21" s="113"/>
    </x:row>
    <x:row r="22">
      <x:c r="A22" s="121" t="str">
        <x:v>备份</x:v>
      </x:c>
      <x:c r="B22" s="123" t="str">
        <x:v>不可变备份库</x:v>
      </x:c>
      <x:c r="C22" s="123" t="n">
        <x:v>2</x:v>
      </x:c>
      <x:c r="D22" s="123" t="n">
        <x:v>24</x:v>
      </x:c>
      <x:c r="E22" s="123" t="n">
        <x:v>128</x:v>
      </x:c>
      <x:c r="F22" s="123" t="str">
        <x:v>按容量：300-800TB</x:v>
      </x:c>
      <x:c r="G22" s="123" t="str">
        <x:v>双25GbE</x:v>
      </x:c>
      <x:c r="H22" s="123" t="str">
        <x:v>专用设备/对象锁</x:v>
      </x:c>
      <x:c r="I22" s="123" t="str">
        <x:v>隔离账号、WORM、离线副本</x:v>
      </x:c>
      <x:c r="J22" s="123" t="str">
        <x:v>异地/离线</x:v>
      </x:c>
      <x:c r="K22" s="123" t="str">
        <x:v>P0</x:v>
      </x:c>
      <x:c r="L22" s="124" t="str">
        <x:v>3-2-1-1-0</x:v>
      </x:c>
      <x:c r="M22" s="113"/>
      <x:c r="N22" s="113"/>
      <x:c r="O22" s="113"/>
    </x:row>
    <x:row r="23">
      <x:c r="A23" s="113"/>
      <x:c r="B23" s="113"/>
      <x:c r="C23" s="113"/>
      <x:c r="D23" s="113"/>
      <x:c r="E23" s="113"/>
      <x:c r="F23" s="113"/>
      <x:c r="G23" s="113"/>
      <x:c r="H23" s="113"/>
      <x:c r="I23" s="113"/>
      <x:c r="J23" s="113"/>
      <x:c r="K23" s="113"/>
      <x:c r="L23" s="113"/>
      <x:c r="M23" s="113"/>
      <x:c r="N23" s="113"/>
      <x:c r="O23" s="113"/>
    </x:row>
    <x:row r="24">
      <x:c r="A24" s="113"/>
      <x:c r="B24" s="113"/>
      <x:c r="C24" s="113"/>
      <x:c r="D24" s="113"/>
      <x:c r="E24" s="113"/>
      <x:c r="F24" s="113"/>
      <x:c r="G24" s="113"/>
      <x:c r="H24" s="113"/>
      <x:c r="I24" s="113"/>
      <x:c r="J24" s="113"/>
      <x:c r="K24" s="113"/>
      <x:c r="L24" s="113"/>
      <x:c r="M24" s="113"/>
      <x:c r="N24" s="113"/>
      <x:c r="O24" s="113"/>
    </x:row>
    <x:row r="25">
      <x:c r="A25" s="113"/>
      <x:c r="B25" s="113"/>
      <x:c r="C25" s="113"/>
      <x:c r="D25" s="113"/>
      <x:c r="E25" s="113"/>
      <x:c r="F25" s="113"/>
      <x:c r="G25" s="113"/>
      <x:c r="H25" s="113"/>
      <x:c r="I25" s="113"/>
      <x:c r="J25" s="113"/>
      <x:c r="K25" s="113"/>
      <x:c r="L25" s="113"/>
      <x:c r="M25" s="113"/>
      <x:c r="N25" s="113"/>
      <x:c r="O25" s="113"/>
    </x:row>
    <x:row r="26">
      <x:c r="A26" s="113"/>
      <x:c r="B26" s="113"/>
      <x:c r="C26" s="113"/>
      <x:c r="D26" s="113"/>
      <x:c r="E26" s="113"/>
      <x:c r="F26" s="113"/>
      <x:c r="G26" s="113"/>
      <x:c r="H26" s="113"/>
      <x:c r="I26" s="113"/>
      <x:c r="J26" s="113"/>
      <x:c r="K26" s="113"/>
      <x:c r="L26" s="113"/>
      <x:c r="M26" s="113"/>
      <x:c r="N26" s="113"/>
      <x:c r="O26" s="113"/>
    </x:row>
    <x:row r="27">
      <x:c r="A27" s="113"/>
      <x:c r="B27" s="113"/>
      <x:c r="C27" s="113"/>
      <x:c r="D27" s="113"/>
      <x:c r="E27" s="113"/>
      <x:c r="F27" s="113"/>
      <x:c r="G27" s="113"/>
      <x:c r="H27" s="113"/>
      <x:c r="I27" s="113"/>
      <x:c r="J27" s="113"/>
      <x:c r="K27" s="113"/>
      <x:c r="L27" s="113"/>
      <x:c r="M27" s="113"/>
      <x:c r="N27" s="113"/>
      <x:c r="O27" s="113"/>
    </x:row>
    <x:row r="28">
      <x:c r="A28" s="113"/>
      <x:c r="B28" s="113"/>
      <x:c r="C28" s="113"/>
      <x:c r="D28" s="113"/>
      <x:c r="E28" s="113"/>
      <x:c r="F28" s="113"/>
      <x:c r="G28" s="113"/>
      <x:c r="H28" s="113"/>
      <x:c r="I28" s="113"/>
      <x:c r="J28" s="113"/>
      <x:c r="K28" s="113"/>
      <x:c r="L28" s="113"/>
      <x:c r="M28" s="113"/>
      <x:c r="N28" s="113"/>
      <x:c r="O28" s="113"/>
    </x:row>
    <x:row r="29">
      <x:c r="A29" s="113"/>
      <x:c r="B29" s="113"/>
      <x:c r="C29" s="113"/>
      <x:c r="D29" s="113"/>
      <x:c r="E29" s="113"/>
      <x:c r="F29" s="113"/>
      <x:c r="G29" s="113"/>
      <x:c r="H29" s="113"/>
      <x:c r="I29" s="113"/>
      <x:c r="J29" s="113"/>
      <x:c r="K29" s="113"/>
      <x:c r="L29" s="113"/>
      <x:c r="M29" s="113"/>
      <x:c r="N29" s="113"/>
      <x:c r="O29" s="113"/>
    </x:row>
    <x:row r="30">
      <x:c r="A30" s="113"/>
      <x:c r="B30" s="113"/>
      <x:c r="C30" s="113"/>
      <x:c r="D30" s="113"/>
      <x:c r="E30" s="113"/>
      <x:c r="F30" s="113"/>
      <x:c r="G30" s="113"/>
      <x:c r="H30" s="113"/>
      <x:c r="I30" s="113"/>
      <x:c r="J30" s="113"/>
      <x:c r="K30" s="113"/>
      <x:c r="L30" s="113"/>
      <x:c r="M30" s="113"/>
      <x:c r="N30" s="113"/>
      <x:c r="O30" s="113"/>
    </x:row>
    <x:row r="31">
      <x:c r="A31" s="113"/>
      <x:c r="B31" s="113"/>
      <x:c r="C31" s="113"/>
      <x:c r="D31" s="113"/>
      <x:c r="E31" s="113"/>
      <x:c r="F31" s="113"/>
      <x:c r="G31" s="113"/>
      <x:c r="H31" s="113"/>
      <x:c r="I31" s="113"/>
      <x:c r="J31" s="113"/>
      <x:c r="K31" s="113"/>
      <x:c r="L31" s="113"/>
      <x:c r="M31" s="113"/>
      <x:c r="N31" s="113"/>
      <x:c r="O31" s="113"/>
    </x:row>
    <x:row r="32">
      <x:c r="A32" s="113"/>
      <x:c r="B32" s="113"/>
      <x:c r="C32" s="113"/>
      <x:c r="D32" s="113"/>
      <x:c r="E32" s="113"/>
      <x:c r="F32" s="113"/>
      <x:c r="G32" s="113"/>
      <x:c r="H32" s="113"/>
      <x:c r="I32" s="113"/>
      <x:c r="J32" s="113"/>
      <x:c r="K32" s="113"/>
      <x:c r="L32" s="113"/>
      <x:c r="M32" s="113"/>
      <x:c r="N32" s="113"/>
      <x:c r="O32" s="113"/>
    </x:row>
    <x:row r="33">
      <x:c r="A33" s="113"/>
      <x:c r="B33" s="113"/>
      <x:c r="C33" s="113"/>
      <x:c r="D33" s="113"/>
      <x:c r="E33" s="113"/>
      <x:c r="F33" s="113"/>
      <x:c r="G33" s="113"/>
      <x:c r="H33" s="113"/>
      <x:c r="I33" s="113"/>
      <x:c r="J33" s="113"/>
      <x:c r="K33" s="113"/>
      <x:c r="L33" s="113"/>
      <x:c r="M33" s="113"/>
      <x:c r="N33" s="113"/>
      <x:c r="O33" s="113"/>
    </x:row>
    <x:row r="34">
      <x:c r="A34" s="113"/>
      <x:c r="B34" s="113"/>
      <x:c r="C34" s="113"/>
      <x:c r="D34" s="113"/>
      <x:c r="E34" s="113"/>
      <x:c r="F34" s="113"/>
      <x:c r="G34" s="113"/>
      <x:c r="H34" s="113"/>
      <x:c r="I34" s="113"/>
      <x:c r="J34" s="113"/>
      <x:c r="K34" s="113"/>
      <x:c r="L34" s="113"/>
      <x:c r="M34" s="113"/>
      <x:c r="N34" s="113"/>
      <x:c r="O34" s="113"/>
    </x:row>
    <x:row r="35">
      <x:c r="A35" s="113"/>
      <x:c r="B35" s="113"/>
      <x:c r="C35" s="113"/>
      <x:c r="D35" s="113"/>
      <x:c r="E35" s="113"/>
      <x:c r="F35" s="113"/>
      <x:c r="G35" s="113"/>
      <x:c r="H35" s="113"/>
      <x:c r="I35" s="113"/>
      <x:c r="J35" s="113"/>
      <x:c r="K35" s="113"/>
      <x:c r="L35" s="113"/>
      <x:c r="M35" s="113"/>
      <x:c r="N35" s="113"/>
      <x:c r="O35" s="113"/>
    </x:row>
    <x:row r="36">
      <x:c r="A36" s="113"/>
      <x:c r="B36" s="113"/>
      <x:c r="C36" s="113"/>
      <x:c r="D36" s="113"/>
      <x:c r="E36" s="113"/>
      <x:c r="F36" s="113"/>
      <x:c r="G36" s="113"/>
      <x:c r="H36" s="113"/>
      <x:c r="I36" s="113"/>
      <x:c r="J36" s="113"/>
      <x:c r="K36" s="113"/>
      <x:c r="L36" s="113"/>
      <x:c r="M36" s="113"/>
      <x:c r="N36" s="113"/>
      <x:c r="O36" s="113"/>
    </x:row>
    <x:row r="37">
      <x:c r="A37" s="113"/>
      <x:c r="B37" s="113"/>
      <x:c r="C37" s="113"/>
      <x:c r="D37" s="113"/>
      <x:c r="E37" s="113"/>
      <x:c r="F37" s="113"/>
      <x:c r="G37" s="113"/>
      <x:c r="H37" s="113"/>
      <x:c r="I37" s="113"/>
      <x:c r="J37" s="113"/>
      <x:c r="K37" s="113"/>
      <x:c r="L37" s="113"/>
      <x:c r="M37" s="113"/>
      <x:c r="N37" s="113"/>
      <x:c r="O37" s="113"/>
    </x:row>
    <x:row r="38">
      <x:c r="A38" s="113"/>
      <x:c r="B38" s="113"/>
      <x:c r="C38" s="113"/>
      <x:c r="D38" s="113"/>
      <x:c r="E38" s="113"/>
      <x:c r="F38" s="113"/>
      <x:c r="G38" s="113"/>
      <x:c r="H38" s="113"/>
      <x:c r="I38" s="113"/>
      <x:c r="J38" s="113"/>
      <x:c r="K38" s="113"/>
      <x:c r="L38" s="113"/>
      <x:c r="M38" s="113"/>
      <x:c r="N38" s="113"/>
      <x:c r="O38" s="113"/>
    </x:row>
    <x:row r="39">
      <x:c r="A39" s="113"/>
      <x:c r="B39" s="113"/>
      <x:c r="C39" s="113"/>
      <x:c r="D39" s="113"/>
      <x:c r="E39" s="113"/>
      <x:c r="F39" s="113"/>
      <x:c r="G39" s="113"/>
      <x:c r="H39" s="113"/>
      <x:c r="I39" s="113"/>
      <x:c r="J39" s="113"/>
      <x:c r="K39" s="113"/>
      <x:c r="L39" s="113"/>
      <x:c r="M39" s="113"/>
      <x:c r="N39" s="113"/>
      <x:c r="O39" s="113"/>
    </x:row>
    <x:row r="40">
      <x:c r="A40" s="113"/>
      <x:c r="B40" s="113"/>
      <x:c r="C40" s="113"/>
      <x:c r="D40" s="113"/>
      <x:c r="E40" s="113"/>
      <x:c r="F40" s="113"/>
      <x:c r="G40" s="113"/>
      <x:c r="H40" s="113"/>
      <x:c r="I40" s="113"/>
      <x:c r="J40" s="113"/>
      <x:c r="K40" s="113"/>
      <x:c r="L40" s="113"/>
      <x:c r="M40" s="113"/>
      <x:c r="N40" s="113"/>
      <x:c r="O40" s="113"/>
    </x:row>
    <x:row r="41">
      <x:c r="A41" s="113"/>
      <x:c r="B41" s="113"/>
      <x:c r="C41" s="113"/>
      <x:c r="D41" s="113"/>
      <x:c r="E41" s="113"/>
      <x:c r="F41" s="113"/>
      <x:c r="G41" s="113"/>
      <x:c r="H41" s="113"/>
      <x:c r="I41" s="113"/>
      <x:c r="J41" s="113"/>
      <x:c r="K41" s="113"/>
      <x:c r="L41" s="113"/>
      <x:c r="M41" s="113"/>
      <x:c r="N41" s="113"/>
      <x:c r="O41" s="113"/>
    </x:row>
    <x:row r="42">
      <x:c r="A42" s="113"/>
      <x:c r="B42" s="113"/>
      <x:c r="C42" s="113"/>
      <x:c r="D42" s="113"/>
      <x:c r="E42" s="113"/>
      <x:c r="F42" s="113"/>
      <x:c r="G42" s="113"/>
      <x:c r="H42" s="113"/>
      <x:c r="I42" s="113"/>
      <x:c r="J42" s="113"/>
      <x:c r="K42" s="113"/>
      <x:c r="L42" s="113"/>
      <x:c r="M42" s="113"/>
      <x:c r="N42" s="113"/>
      <x:c r="O42" s="113"/>
    </x:row>
    <x:row r="43">
      <x:c r="A43" s="113"/>
      <x:c r="B43" s="113"/>
      <x:c r="C43" s="113"/>
      <x:c r="D43" s="113"/>
      <x:c r="E43" s="113"/>
      <x:c r="F43" s="113"/>
      <x:c r="G43" s="113"/>
      <x:c r="H43" s="113"/>
      <x:c r="I43" s="113"/>
      <x:c r="J43" s="113"/>
      <x:c r="K43" s="113"/>
      <x:c r="L43" s="113"/>
      <x:c r="M43" s="113"/>
      <x:c r="N43" s="113"/>
      <x:c r="O43" s="113"/>
    </x:row>
    <x:row r="44">
      <x:c r="A44" s="113"/>
      <x:c r="B44" s="113"/>
      <x:c r="C44" s="113"/>
      <x:c r="D44" s="113"/>
      <x:c r="E44" s="113"/>
      <x:c r="F44" s="113"/>
      <x:c r="G44" s="113"/>
      <x:c r="H44" s="113"/>
      <x:c r="I44" s="113"/>
      <x:c r="J44" s="113"/>
      <x:c r="K44" s="113"/>
      <x:c r="L44" s="113"/>
      <x:c r="M44" s="113"/>
      <x:c r="N44" s="113"/>
      <x:c r="O44" s="113"/>
    </x:row>
    <x:row r="45">
      <x:c r="A45" s="113"/>
      <x:c r="B45" s="113"/>
      <x:c r="C45" s="113"/>
      <x:c r="D45" s="113"/>
      <x:c r="E45" s="113"/>
      <x:c r="F45" s="113"/>
      <x:c r="G45" s="113"/>
      <x:c r="H45" s="113"/>
      <x:c r="I45" s="113"/>
      <x:c r="J45" s="113"/>
      <x:c r="K45" s="113"/>
      <x:c r="L45" s="113"/>
      <x:c r="M45" s="113"/>
      <x:c r="N45" s="113"/>
      <x:c r="O45" s="113"/>
    </x:row>
    <x:row r="46">
      <x:c r="A46" s="113"/>
      <x:c r="B46" s="113"/>
      <x:c r="C46" s="113"/>
      <x:c r="D46" s="113"/>
      <x:c r="E46" s="113"/>
      <x:c r="F46" s="113"/>
      <x:c r="G46" s="113"/>
      <x:c r="H46" s="113"/>
      <x:c r="I46" s="113"/>
      <x:c r="J46" s="113"/>
      <x:c r="K46" s="113"/>
      <x:c r="L46" s="113"/>
      <x:c r="M46" s="113"/>
      <x:c r="N46" s="113"/>
      <x:c r="O46" s="113"/>
    </x:row>
    <x:row r="47">
      <x:c r="A47" s="113"/>
      <x:c r="B47" s="113"/>
      <x:c r="C47" s="113"/>
      <x:c r="D47" s="113"/>
      <x:c r="E47" s="113"/>
      <x:c r="F47" s="113"/>
      <x:c r="G47" s="113"/>
      <x:c r="H47" s="113"/>
      <x:c r="I47" s="113"/>
      <x:c r="J47" s="113"/>
      <x:c r="K47" s="113"/>
      <x:c r="L47" s="113"/>
      <x:c r="M47" s="113"/>
      <x:c r="N47" s="113"/>
      <x:c r="O47" s="113"/>
    </x:row>
    <x:row r="48">
      <x:c r="A48" s="113"/>
      <x:c r="B48" s="113"/>
      <x:c r="C48" s="113"/>
      <x:c r="D48" s="113"/>
      <x:c r="E48" s="113"/>
      <x:c r="F48" s="113"/>
      <x:c r="G48" s="113"/>
      <x:c r="H48" s="113"/>
      <x:c r="I48" s="113"/>
      <x:c r="J48" s="113"/>
      <x:c r="K48" s="113"/>
      <x:c r="L48" s="113"/>
      <x:c r="M48" s="113"/>
      <x:c r="N48" s="113"/>
      <x:c r="O48" s="113"/>
    </x:row>
    <x:row r="49">
      <x:c r="A49" s="113"/>
      <x:c r="B49" s="113"/>
      <x:c r="C49" s="113"/>
      <x:c r="D49" s="113"/>
      <x:c r="E49" s="113"/>
      <x:c r="F49" s="113"/>
      <x:c r="G49" s="113"/>
      <x:c r="H49" s="113"/>
      <x:c r="I49" s="113"/>
      <x:c r="J49" s="113"/>
      <x:c r="K49" s="113"/>
      <x:c r="L49" s="113"/>
      <x:c r="M49" s="113"/>
      <x:c r="N49" s="113"/>
      <x:c r="O49" s="113"/>
    </x:row>
    <x:row r="50">
      <x:c r="A50" s="113"/>
      <x:c r="B50" s="113"/>
      <x:c r="C50" s="113"/>
      <x:c r="D50" s="113"/>
      <x:c r="E50" s="113"/>
      <x:c r="F50" s="113"/>
      <x:c r="G50" s="113"/>
      <x:c r="H50" s="113"/>
      <x:c r="I50" s="113"/>
      <x:c r="J50" s="113"/>
      <x:c r="K50" s="113"/>
      <x:c r="L50" s="113"/>
      <x:c r="M50" s="113"/>
      <x:c r="N50" s="113"/>
      <x:c r="O50" s="113"/>
    </x:row>
    <x:row r="51">
      <x:c r="A51" s="113"/>
      <x:c r="B51" s="113"/>
      <x:c r="C51" s="113"/>
      <x:c r="D51" s="113"/>
      <x:c r="E51" s="113"/>
      <x:c r="F51" s="113"/>
      <x:c r="G51" s="113"/>
      <x:c r="H51" s="113"/>
      <x:c r="I51" s="113"/>
      <x:c r="J51" s="113"/>
      <x:c r="K51" s="113"/>
      <x:c r="L51" s="113"/>
      <x:c r="M51" s="113"/>
      <x:c r="N51" s="113"/>
      <x:c r="O51" s="113"/>
    </x:row>
    <x:row r="52">
      <x:c r="A52" s="113"/>
      <x:c r="B52" s="113"/>
      <x:c r="C52" s="113"/>
      <x:c r="D52" s="113"/>
      <x:c r="E52" s="113"/>
      <x:c r="F52" s="113"/>
      <x:c r="G52" s="113"/>
      <x:c r="H52" s="113"/>
      <x:c r="I52" s="113"/>
      <x:c r="J52" s="113"/>
      <x:c r="K52" s="113"/>
      <x:c r="L52" s="113"/>
      <x:c r="M52" s="113"/>
      <x:c r="N52" s="113"/>
      <x:c r="O52" s="113"/>
    </x:row>
    <x:row r="53">
      <x:c r="A53" s="113"/>
      <x:c r="B53" s="113"/>
      <x:c r="C53" s="113"/>
      <x:c r="D53" s="113"/>
      <x:c r="E53" s="113"/>
      <x:c r="F53" s="113"/>
      <x:c r="G53" s="113"/>
      <x:c r="H53" s="113"/>
      <x:c r="I53" s="113"/>
      <x:c r="J53" s="113"/>
      <x:c r="K53" s="113"/>
      <x:c r="L53" s="113"/>
      <x:c r="M53" s="113"/>
      <x:c r="N53" s="113"/>
      <x:c r="O53" s="113"/>
    </x:row>
    <x:row r="54">
      <x:c r="A54" s="113"/>
      <x:c r="B54" s="113"/>
      <x:c r="C54" s="113"/>
      <x:c r="D54" s="113"/>
      <x:c r="E54" s="113"/>
      <x:c r="F54" s="113"/>
      <x:c r="G54" s="113"/>
      <x:c r="H54" s="113"/>
      <x:c r="I54" s="113"/>
      <x:c r="J54" s="113"/>
      <x:c r="K54" s="113"/>
      <x:c r="L54" s="113"/>
      <x:c r="M54" s="113"/>
      <x:c r="N54" s="113"/>
      <x:c r="O54" s="113"/>
    </x:row>
    <x:row r="55">
      <x:c r="A55" s="113"/>
      <x:c r="B55" s="113"/>
      <x:c r="C55" s="113"/>
      <x:c r="D55" s="113"/>
      <x:c r="E55" s="113"/>
      <x:c r="F55" s="113"/>
      <x:c r="G55" s="113"/>
      <x:c r="H55" s="113"/>
      <x:c r="I55" s="113"/>
      <x:c r="J55" s="113"/>
      <x:c r="K55" s="113"/>
      <x:c r="L55" s="113"/>
      <x:c r="M55" s="113"/>
      <x:c r="N55" s="113"/>
      <x:c r="O55" s="113"/>
    </x:row>
    <x:row r="56">
      <x:c r="A56" s="113"/>
      <x:c r="B56" s="113"/>
      <x:c r="C56" s="113"/>
      <x:c r="D56" s="113"/>
      <x:c r="E56" s="113"/>
      <x:c r="F56" s="113"/>
      <x:c r="G56" s="113"/>
      <x:c r="H56" s="113"/>
      <x:c r="I56" s="113"/>
      <x:c r="J56" s="113"/>
      <x:c r="K56" s="113"/>
      <x:c r="L56" s="113"/>
      <x:c r="M56" s="113"/>
      <x:c r="N56" s="113"/>
      <x:c r="O56" s="113"/>
    </x:row>
    <x:row r="57">
      <x:c r="A57" s="113"/>
      <x:c r="B57" s="113"/>
      <x:c r="C57" s="113"/>
      <x:c r="D57" s="113"/>
      <x:c r="E57" s="113"/>
      <x:c r="F57" s="113"/>
      <x:c r="G57" s="113"/>
      <x:c r="H57" s="113"/>
      <x:c r="I57" s="113"/>
      <x:c r="J57" s="113"/>
      <x:c r="K57" s="113"/>
      <x:c r="L57" s="113"/>
      <x:c r="M57" s="113"/>
      <x:c r="N57" s="113"/>
      <x:c r="O57" s="113"/>
    </x:row>
    <x:row r="58">
      <x:c r="A58" s="113"/>
      <x:c r="B58" s="113"/>
      <x:c r="C58" s="113"/>
      <x:c r="D58" s="113"/>
      <x:c r="E58" s="113"/>
      <x:c r="F58" s="113"/>
      <x:c r="G58" s="113"/>
      <x:c r="H58" s="113"/>
      <x:c r="I58" s="113"/>
      <x:c r="J58" s="113"/>
      <x:c r="K58" s="113"/>
      <x:c r="L58" s="113"/>
      <x:c r="M58" s="113"/>
      <x:c r="N58" s="113"/>
      <x:c r="O58" s="113"/>
    </x:row>
    <x:row r="59">
      <x:c r="A59" s="113"/>
      <x:c r="B59" s="113"/>
      <x:c r="C59" s="113"/>
      <x:c r="D59" s="113"/>
      <x:c r="E59" s="113"/>
      <x:c r="F59" s="113"/>
      <x:c r="G59" s="113"/>
      <x:c r="H59" s="113"/>
      <x:c r="I59" s="113"/>
      <x:c r="J59" s="113"/>
      <x:c r="K59" s="113"/>
      <x:c r="L59" s="113"/>
      <x:c r="M59" s="113"/>
      <x:c r="N59" s="113"/>
      <x:c r="O59" s="113"/>
    </x:row>
    <x:row r="60">
      <x:c r="A60" s="113"/>
      <x:c r="B60" s="113"/>
      <x:c r="C60" s="113"/>
      <x:c r="D60" s="113"/>
      <x:c r="E60" s="113"/>
      <x:c r="F60" s="113"/>
      <x:c r="G60" s="113"/>
      <x:c r="H60" s="113"/>
      <x:c r="I60" s="113"/>
      <x:c r="J60" s="113"/>
      <x:c r="K60" s="113"/>
      <x:c r="L60" s="113"/>
      <x:c r="M60" s="113"/>
      <x:c r="N60" s="113"/>
      <x:c r="O60" s="113"/>
    </x:row>
    <x:row r="61">
      <x:c r="A61" s="113"/>
      <x:c r="B61" s="113"/>
      <x:c r="C61" s="113"/>
      <x:c r="D61" s="113"/>
      <x:c r="E61" s="113"/>
      <x:c r="F61" s="113"/>
      <x:c r="G61" s="113"/>
      <x:c r="H61" s="113"/>
      <x:c r="I61" s="113"/>
      <x:c r="J61" s="113"/>
      <x:c r="K61" s="113"/>
      <x:c r="L61" s="113"/>
      <x:c r="M61" s="113"/>
      <x:c r="N61" s="113"/>
      <x:c r="O61" s="113"/>
    </x:row>
    <x:row r="62">
      <x:c r="A62" s="113"/>
      <x:c r="B62" s="113"/>
      <x:c r="C62" s="113"/>
      <x:c r="D62" s="113"/>
      <x:c r="E62" s="113"/>
      <x:c r="F62" s="113"/>
      <x:c r="G62" s="113"/>
      <x:c r="H62" s="113"/>
      <x:c r="I62" s="113"/>
      <x:c r="J62" s="113"/>
      <x:c r="K62" s="113"/>
      <x:c r="L62" s="113"/>
      <x:c r="M62" s="113"/>
      <x:c r="N62" s="113"/>
      <x:c r="O62" s="113"/>
    </x:row>
    <x:row r="63">
      <x:c r="A63" s="113"/>
      <x:c r="B63" s="113"/>
      <x:c r="C63" s="113"/>
      <x:c r="D63" s="113"/>
      <x:c r="E63" s="113"/>
      <x:c r="F63" s="113"/>
      <x:c r="G63" s="113"/>
      <x:c r="H63" s="113"/>
      <x:c r="I63" s="113"/>
      <x:c r="J63" s="113"/>
      <x:c r="K63" s="113"/>
      <x:c r="L63" s="113"/>
      <x:c r="M63" s="113"/>
      <x:c r="N63" s="113"/>
      <x:c r="O63" s="113"/>
    </x:row>
    <x:row r="64">
      <x:c r="A64" s="113"/>
      <x:c r="B64" s="113"/>
      <x:c r="C64" s="113"/>
      <x:c r="D64" s="113"/>
      <x:c r="E64" s="113"/>
      <x:c r="F64" s="113"/>
      <x:c r="G64" s="113"/>
      <x:c r="H64" s="113"/>
      <x:c r="I64" s="113"/>
      <x:c r="J64" s="113"/>
      <x:c r="K64" s="113"/>
      <x:c r="L64" s="113"/>
      <x:c r="M64" s="113"/>
      <x:c r="N64" s="113"/>
      <x:c r="O64" s="113"/>
    </x:row>
    <x:row r="65">
      <x:c r="A65" s="113"/>
      <x:c r="B65" s="113"/>
      <x:c r="C65" s="113"/>
      <x:c r="D65" s="113"/>
      <x:c r="E65" s="113"/>
      <x:c r="F65" s="113"/>
      <x:c r="G65" s="113"/>
      <x:c r="H65" s="113"/>
      <x:c r="I65" s="113"/>
      <x:c r="J65" s="113"/>
      <x:c r="K65" s="113"/>
      <x:c r="L65" s="113"/>
      <x:c r="M65" s="113"/>
      <x:c r="N65" s="113"/>
      <x:c r="O65" s="113"/>
    </x:row>
    <x:row r="66">
      <x:c r="A66" s="113"/>
      <x:c r="B66" s="113"/>
      <x:c r="C66" s="113"/>
      <x:c r="D66" s="113"/>
      <x:c r="E66" s="113"/>
      <x:c r="F66" s="113"/>
      <x:c r="G66" s="113"/>
      <x:c r="H66" s="113"/>
      <x:c r="I66" s="113"/>
      <x:c r="J66" s="113"/>
      <x:c r="K66" s="113"/>
      <x:c r="L66" s="113"/>
      <x:c r="M66" s="113"/>
      <x:c r="N66" s="113"/>
      <x:c r="O66" s="113"/>
    </x:row>
    <x:row r="67">
      <x:c r="A67" s="113"/>
      <x:c r="B67" s="113"/>
      <x:c r="C67" s="113"/>
      <x:c r="D67" s="113"/>
      <x:c r="E67" s="113"/>
      <x:c r="F67" s="113"/>
      <x:c r="G67" s="113"/>
      <x:c r="H67" s="113"/>
      <x:c r="I67" s="113"/>
      <x:c r="J67" s="113"/>
      <x:c r="K67" s="113"/>
      <x:c r="L67" s="113"/>
      <x:c r="M67" s="113"/>
      <x:c r="N67" s="113"/>
      <x:c r="O67" s="113"/>
    </x:row>
    <x:row r="68">
      <x:c r="A68" s="113"/>
      <x:c r="B68" s="113"/>
      <x:c r="C68" s="113"/>
      <x:c r="D68" s="113"/>
      <x:c r="E68" s="113"/>
      <x:c r="F68" s="113"/>
      <x:c r="G68" s="113"/>
      <x:c r="H68" s="113"/>
      <x:c r="I68" s="113"/>
      <x:c r="J68" s="113"/>
      <x:c r="K68" s="113"/>
      <x:c r="L68" s="113"/>
      <x:c r="M68" s="113"/>
      <x:c r="N68" s="113"/>
      <x:c r="O68" s="113"/>
    </x:row>
    <x:row r="69">
      <x:c r="A69" s="113"/>
      <x:c r="B69" s="113"/>
      <x:c r="C69" s="113"/>
      <x:c r="D69" s="113"/>
      <x:c r="E69" s="113"/>
      <x:c r="F69" s="113"/>
      <x:c r="G69" s="113"/>
      <x:c r="H69" s="113"/>
      <x:c r="I69" s="113"/>
      <x:c r="J69" s="113"/>
      <x:c r="K69" s="113"/>
      <x:c r="L69" s="113"/>
      <x:c r="M69" s="113"/>
      <x:c r="N69" s="113"/>
      <x:c r="O69" s="113"/>
    </x:row>
    <x:row r="70">
      <x:c r="A70" s="113"/>
      <x:c r="B70" s="113"/>
      <x:c r="C70" s="113"/>
      <x:c r="D70" s="113"/>
      <x:c r="E70" s="113"/>
      <x:c r="F70" s="113"/>
      <x:c r="G70" s="113"/>
      <x:c r="H70" s="113"/>
      <x:c r="I70" s="113"/>
      <x:c r="J70" s="113"/>
      <x:c r="K70" s="113"/>
      <x:c r="L70" s="113"/>
      <x:c r="M70" s="113"/>
      <x:c r="N70" s="113"/>
      <x:c r="O70" s="113"/>
    </x:row>
    <x:row r="71">
      <x:c r="A71" s="113"/>
      <x:c r="B71" s="113"/>
      <x:c r="C71" s="113"/>
      <x:c r="D71" s="113"/>
      <x:c r="E71" s="113"/>
      <x:c r="F71" s="113"/>
      <x:c r="G71" s="113"/>
      <x:c r="H71" s="113"/>
      <x:c r="I71" s="113"/>
      <x:c r="J71" s="113"/>
      <x:c r="K71" s="113"/>
      <x:c r="L71" s="113"/>
      <x:c r="M71" s="113"/>
      <x:c r="N71" s="113"/>
      <x:c r="O71" s="113"/>
    </x:row>
    <x:row r="72">
      <x:c r="A72" s="113"/>
      <x:c r="B72" s="113"/>
      <x:c r="C72" s="113"/>
      <x:c r="D72" s="113"/>
      <x:c r="E72" s="113"/>
      <x:c r="F72" s="113"/>
      <x:c r="G72" s="113"/>
      <x:c r="H72" s="113"/>
      <x:c r="I72" s="113"/>
      <x:c r="J72" s="113"/>
      <x:c r="K72" s="113"/>
      <x:c r="L72" s="113"/>
      <x:c r="M72" s="113"/>
      <x:c r="N72" s="113"/>
      <x:c r="O72" s="113"/>
    </x:row>
    <x:row r="73">
      <x:c r="A73" s="113"/>
      <x:c r="B73" s="113"/>
      <x:c r="C73" s="113"/>
      <x:c r="D73" s="113"/>
      <x:c r="E73" s="113"/>
      <x:c r="F73" s="113"/>
      <x:c r="G73" s="113"/>
      <x:c r="H73" s="113"/>
      <x:c r="I73" s="113"/>
      <x:c r="J73" s="113"/>
      <x:c r="K73" s="113"/>
      <x:c r="L73" s="113"/>
      <x:c r="M73" s="113"/>
      <x:c r="N73" s="113"/>
      <x:c r="O73" s="113"/>
    </x:row>
    <x:row r="74">
      <x:c r="A74" s="113"/>
      <x:c r="B74" s="113"/>
      <x:c r="C74" s="113"/>
      <x:c r="D74" s="113"/>
      <x:c r="E74" s="113"/>
      <x:c r="F74" s="113"/>
      <x:c r="G74" s="113"/>
      <x:c r="H74" s="113"/>
      <x:c r="I74" s="113"/>
      <x:c r="J74" s="113"/>
      <x:c r="K74" s="113"/>
      <x:c r="L74" s="113"/>
      <x:c r="M74" s="113"/>
      <x:c r="N74" s="113"/>
      <x:c r="O74" s="113"/>
    </x:row>
    <x:row r="75">
      <x:c r="A75" s="113"/>
      <x:c r="B75" s="113"/>
      <x:c r="C75" s="113"/>
      <x:c r="D75" s="113"/>
      <x:c r="E75" s="113"/>
      <x:c r="F75" s="113"/>
      <x:c r="G75" s="113"/>
      <x:c r="H75" s="113"/>
      <x:c r="I75" s="113"/>
      <x:c r="J75" s="113"/>
      <x:c r="K75" s="113"/>
      <x:c r="L75" s="113"/>
      <x:c r="M75" s="113"/>
      <x:c r="N75" s="113"/>
      <x:c r="O75" s="113"/>
    </x:row>
    <x:row r="76">
      <x:c r="A76" s="113"/>
      <x:c r="B76" s="113"/>
      <x:c r="C76" s="113"/>
      <x:c r="D76" s="113"/>
      <x:c r="E76" s="113"/>
      <x:c r="F76" s="113"/>
      <x:c r="G76" s="113"/>
      <x:c r="H76" s="113"/>
      <x:c r="I76" s="113"/>
      <x:c r="J76" s="113"/>
      <x:c r="K76" s="113"/>
      <x:c r="L76" s="113"/>
      <x:c r="M76" s="113"/>
      <x:c r="N76" s="113"/>
      <x:c r="O76" s="113"/>
    </x:row>
    <x:row r="77">
      <x:c r="A77" s="113"/>
      <x:c r="B77" s="113"/>
      <x:c r="C77" s="113"/>
      <x:c r="D77" s="113"/>
      <x:c r="E77" s="113"/>
      <x:c r="F77" s="113"/>
      <x:c r="G77" s="113"/>
      <x:c r="H77" s="113"/>
      <x:c r="I77" s="113"/>
      <x:c r="J77" s="113"/>
      <x:c r="K77" s="113"/>
      <x:c r="L77" s="113"/>
      <x:c r="M77" s="113"/>
      <x:c r="N77" s="113"/>
      <x:c r="O77" s="113"/>
    </x:row>
    <x:row r="78">
      <x:c r="A78" s="113"/>
      <x:c r="B78" s="113"/>
      <x:c r="C78" s="113"/>
      <x:c r="D78" s="113"/>
      <x:c r="E78" s="113"/>
      <x:c r="F78" s="113"/>
      <x:c r="G78" s="113"/>
      <x:c r="H78" s="113"/>
      <x:c r="I78" s="113"/>
      <x:c r="J78" s="113"/>
      <x:c r="K78" s="113"/>
      <x:c r="L78" s="113"/>
      <x:c r="M78" s="113"/>
      <x:c r="N78" s="113"/>
      <x:c r="O78" s="113"/>
    </x:row>
    <x:row r="79">
      <x:c r="A79" s="113"/>
      <x:c r="B79" s="113"/>
      <x:c r="C79" s="113"/>
      <x:c r="D79" s="113"/>
      <x:c r="E79" s="113"/>
      <x:c r="F79" s="113"/>
      <x:c r="G79" s="113"/>
      <x:c r="H79" s="113"/>
      <x:c r="I79" s="113"/>
      <x:c r="J79" s="113"/>
      <x:c r="K79" s="113"/>
      <x:c r="L79" s="113"/>
      <x:c r="M79" s="113"/>
      <x:c r="N79" s="113"/>
      <x:c r="O79" s="113"/>
    </x:row>
    <x:row r="80">
      <x:c r="A80" s="113"/>
      <x:c r="B80" s="113"/>
      <x:c r="C80" s="113"/>
      <x:c r="D80" s="113"/>
      <x:c r="E80" s="113"/>
      <x:c r="F80" s="113"/>
      <x:c r="G80" s="113"/>
      <x:c r="H80" s="113"/>
      <x:c r="I80" s="113"/>
      <x:c r="J80" s="113"/>
      <x:c r="K80" s="113"/>
      <x:c r="L80" s="113"/>
      <x:c r="M80" s="113"/>
      <x:c r="N80" s="113"/>
      <x:c r="O80" s="113"/>
    </x:row>
    <x:row r="81">
      <x:c r="A81" s="113"/>
      <x:c r="B81" s="113"/>
      <x:c r="C81" s="113"/>
      <x:c r="D81" s="113"/>
      <x:c r="E81" s="113"/>
      <x:c r="F81" s="113"/>
      <x:c r="G81" s="113"/>
      <x:c r="H81" s="113"/>
      <x:c r="I81" s="113"/>
      <x:c r="J81" s="113"/>
      <x:c r="K81" s="113"/>
      <x:c r="L81" s="113"/>
      <x:c r="M81" s="113"/>
      <x:c r="N81" s="113"/>
      <x:c r="O81" s="113"/>
    </x:row>
    <x:row r="82">
      <x:c r="A82" s="113"/>
      <x:c r="B82" s="113"/>
      <x:c r="C82" s="113"/>
      <x:c r="D82" s="113"/>
      <x:c r="E82" s="113"/>
      <x:c r="F82" s="113"/>
      <x:c r="G82" s="113"/>
      <x:c r="H82" s="113"/>
      <x:c r="I82" s="113"/>
      <x:c r="J82" s="113"/>
      <x:c r="K82" s="113"/>
      <x:c r="L82" s="113"/>
      <x:c r="M82" s="113"/>
      <x:c r="N82" s="113"/>
      <x:c r="O82" s="113"/>
    </x:row>
    <x:row r="83">
      <x:c r="A83" s="113"/>
      <x:c r="B83" s="113"/>
      <x:c r="C83" s="113"/>
      <x:c r="D83" s="113"/>
      <x:c r="E83" s="113"/>
      <x:c r="F83" s="113"/>
      <x:c r="G83" s="113"/>
      <x:c r="H83" s="113"/>
      <x:c r="I83" s="113"/>
      <x:c r="J83" s="113"/>
      <x:c r="K83" s="113"/>
      <x:c r="L83" s="113"/>
      <x:c r="M83" s="113"/>
      <x:c r="N83" s="113"/>
      <x:c r="O83" s="113"/>
    </x:row>
    <x:row r="84">
      <x:c r="A84" s="113"/>
      <x:c r="B84" s="113"/>
      <x:c r="C84" s="113"/>
      <x:c r="D84" s="113"/>
      <x:c r="E84" s="113"/>
      <x:c r="F84" s="113"/>
      <x:c r="G84" s="113"/>
      <x:c r="H84" s="113"/>
      <x:c r="I84" s="113"/>
      <x:c r="J84" s="113"/>
      <x:c r="K84" s="113"/>
      <x:c r="L84" s="113"/>
      <x:c r="M84" s="113"/>
      <x:c r="N84" s="113"/>
      <x:c r="O84" s="113"/>
    </x:row>
    <x:row r="85">
      <x:c r="A85" s="113"/>
      <x:c r="B85" s="113"/>
      <x:c r="C85" s="113"/>
      <x:c r="D85" s="113"/>
      <x:c r="E85" s="113"/>
      <x:c r="F85" s="113"/>
      <x:c r="G85" s="113"/>
      <x:c r="H85" s="113"/>
      <x:c r="I85" s="113"/>
      <x:c r="J85" s="113"/>
      <x:c r="K85" s="113"/>
      <x:c r="L85" s="113"/>
      <x:c r="M85" s="113"/>
      <x:c r="N85" s="113"/>
      <x:c r="O85" s="113"/>
    </x:row>
    <x:row r="86">
      <x:c r="A86" s="113"/>
      <x:c r="B86" s="113"/>
      <x:c r="C86" s="113"/>
      <x:c r="D86" s="113"/>
      <x:c r="E86" s="113"/>
      <x:c r="F86" s="113"/>
      <x:c r="G86" s="113"/>
      <x:c r="H86" s="113"/>
      <x:c r="I86" s="113"/>
      <x:c r="J86" s="113"/>
      <x:c r="K86" s="113"/>
      <x:c r="L86" s="113"/>
      <x:c r="M86" s="113"/>
      <x:c r="N86" s="113"/>
      <x:c r="O86" s="113"/>
    </x:row>
    <x:row r="87">
      <x:c r="A87" s="113"/>
      <x:c r="B87" s="113"/>
      <x:c r="C87" s="113"/>
      <x:c r="D87" s="113"/>
      <x:c r="E87" s="113"/>
      <x:c r="F87" s="113"/>
      <x:c r="G87" s="113"/>
      <x:c r="H87" s="113"/>
      <x:c r="I87" s="113"/>
      <x:c r="J87" s="113"/>
      <x:c r="K87" s="113"/>
      <x:c r="L87" s="113"/>
      <x:c r="M87" s="113"/>
      <x:c r="N87" s="113"/>
      <x:c r="O87" s="113"/>
    </x:row>
    <x:row r="88">
      <x:c r="A88" s="113"/>
      <x:c r="B88" s="113"/>
      <x:c r="C88" s="113"/>
      <x:c r="D88" s="113"/>
      <x:c r="E88" s="113"/>
      <x:c r="F88" s="113"/>
      <x:c r="G88" s="113"/>
      <x:c r="H88" s="113"/>
      <x:c r="I88" s="113"/>
      <x:c r="J88" s="113"/>
      <x:c r="K88" s="113"/>
      <x:c r="L88" s="113"/>
      <x:c r="M88" s="113"/>
      <x:c r="N88" s="113"/>
      <x:c r="O88" s="113"/>
    </x:row>
    <x:row r="89">
      <x:c r="A89" s="113"/>
      <x:c r="B89" s="113"/>
      <x:c r="C89" s="113"/>
      <x:c r="D89" s="113"/>
      <x:c r="E89" s="113"/>
      <x:c r="F89" s="113"/>
      <x:c r="G89" s="113"/>
      <x:c r="H89" s="113"/>
      <x:c r="I89" s="113"/>
      <x:c r="J89" s="113"/>
      <x:c r="K89" s="113"/>
      <x:c r="L89" s="113"/>
      <x:c r="M89" s="113"/>
      <x:c r="N89" s="113"/>
      <x:c r="O89" s="113"/>
    </x:row>
    <x:row r="90">
      <x:c r="A90" s="113"/>
      <x:c r="B90" s="113"/>
      <x:c r="C90" s="113"/>
      <x:c r="D90" s="113"/>
      <x:c r="E90" s="113"/>
      <x:c r="F90" s="113"/>
      <x:c r="G90" s="113"/>
      <x:c r="H90" s="113"/>
      <x:c r="I90" s="113"/>
      <x:c r="J90" s="113"/>
      <x:c r="K90" s="113"/>
      <x:c r="L90" s="113"/>
      <x:c r="M90" s="113"/>
      <x:c r="N90" s="113"/>
      <x:c r="O90" s="113"/>
    </x:row>
    <x:row r="91">
      <x:c r="A91" s="113"/>
      <x:c r="B91" s="113"/>
      <x:c r="C91" s="113"/>
      <x:c r="D91" s="113"/>
      <x:c r="E91" s="113"/>
      <x:c r="F91" s="113"/>
      <x:c r="G91" s="113"/>
      <x:c r="H91" s="113"/>
      <x:c r="I91" s="113"/>
      <x:c r="J91" s="113"/>
      <x:c r="K91" s="113"/>
      <x:c r="L91" s="113"/>
      <x:c r="M91" s="113"/>
      <x:c r="N91" s="113"/>
      <x:c r="O91" s="113"/>
    </x:row>
    <x:row r="92">
      <x:c r="A92" s="113"/>
      <x:c r="B92" s="113"/>
      <x:c r="C92" s="113"/>
      <x:c r="D92" s="113"/>
      <x:c r="E92" s="113"/>
      <x:c r="F92" s="113"/>
      <x:c r="G92" s="113"/>
      <x:c r="H92" s="113"/>
      <x:c r="I92" s="113"/>
      <x:c r="J92" s="113"/>
      <x:c r="K92" s="113"/>
      <x:c r="L92" s="113"/>
      <x:c r="M92" s="113"/>
      <x:c r="N92" s="113"/>
      <x:c r="O92" s="113"/>
    </x:row>
    <x:row r="93">
      <x:c r="A93" s="113"/>
      <x:c r="B93" s="113"/>
      <x:c r="C93" s="113"/>
      <x:c r="D93" s="113"/>
      <x:c r="E93" s="113"/>
      <x:c r="F93" s="113"/>
      <x:c r="G93" s="113"/>
      <x:c r="H93" s="113"/>
      <x:c r="I93" s="113"/>
      <x:c r="J93" s="113"/>
      <x:c r="K93" s="113"/>
      <x:c r="L93" s="113"/>
      <x:c r="M93" s="113"/>
      <x:c r="N93" s="113"/>
      <x:c r="O93" s="113"/>
    </x:row>
    <x:row r="94">
      <x:c r="A94" s="113"/>
      <x:c r="B94" s="113"/>
      <x:c r="C94" s="113"/>
      <x:c r="D94" s="113"/>
      <x:c r="E94" s="113"/>
      <x:c r="F94" s="113"/>
      <x:c r="G94" s="113"/>
      <x:c r="H94" s="113"/>
      <x:c r="I94" s="113"/>
      <x:c r="J94" s="113"/>
      <x:c r="K94" s="113"/>
      <x:c r="L94" s="113"/>
      <x:c r="M94" s="113"/>
      <x:c r="N94" s="113"/>
      <x:c r="O94" s="113"/>
    </x:row>
    <x:row r="95">
      <x:c r="A95" s="113"/>
      <x:c r="B95" s="113"/>
      <x:c r="C95" s="113"/>
      <x:c r="D95" s="113"/>
      <x:c r="E95" s="113"/>
      <x:c r="F95" s="113"/>
      <x:c r="G95" s="113"/>
      <x:c r="H95" s="113"/>
      <x:c r="I95" s="113"/>
      <x:c r="J95" s="113"/>
      <x:c r="K95" s="113"/>
      <x:c r="L95" s="113"/>
      <x:c r="M95" s="113"/>
      <x:c r="N95" s="113"/>
      <x:c r="O95" s="113"/>
    </x:row>
    <x:row r="96">
      <x:c r="A96" s="113"/>
      <x:c r="B96" s="113"/>
      <x:c r="C96" s="113"/>
      <x:c r="D96" s="113"/>
      <x:c r="E96" s="113"/>
      <x:c r="F96" s="113"/>
      <x:c r="G96" s="113"/>
      <x:c r="H96" s="113"/>
      <x:c r="I96" s="113"/>
      <x:c r="J96" s="113"/>
      <x:c r="K96" s="113"/>
      <x:c r="L96" s="113"/>
      <x:c r="M96" s="113"/>
      <x:c r="N96" s="113"/>
      <x:c r="O96" s="113"/>
    </x:row>
    <x:row r="97">
      <x:c r="A97" s="113"/>
      <x:c r="B97" s="113"/>
      <x:c r="C97" s="113"/>
      <x:c r="D97" s="113"/>
      <x:c r="E97" s="113"/>
      <x:c r="F97" s="113"/>
      <x:c r="G97" s="113"/>
      <x:c r="H97" s="113"/>
      <x:c r="I97" s="113"/>
      <x:c r="J97" s="113"/>
      <x:c r="K97" s="113"/>
      <x:c r="L97" s="113"/>
      <x:c r="M97" s="113"/>
      <x:c r="N97" s="113"/>
      <x:c r="O97" s="113"/>
    </x:row>
    <x:row r="98">
      <x:c r="A98" s="113"/>
      <x:c r="B98" s="113"/>
      <x:c r="C98" s="113"/>
      <x:c r="D98" s="113"/>
      <x:c r="E98" s="113"/>
      <x:c r="F98" s="113"/>
      <x:c r="G98" s="113"/>
      <x:c r="H98" s="113"/>
      <x:c r="I98" s="113"/>
      <x:c r="J98" s="113"/>
      <x:c r="K98" s="113"/>
      <x:c r="L98" s="113"/>
      <x:c r="M98" s="113"/>
      <x:c r="N98" s="113"/>
      <x:c r="O98" s="113"/>
    </x:row>
    <x:row r="99">
      <x:c r="A99" s="113"/>
      <x:c r="B99" s="113"/>
      <x:c r="C99" s="113"/>
      <x:c r="D99" s="113"/>
      <x:c r="E99" s="113"/>
      <x:c r="F99" s="113"/>
      <x:c r="G99" s="113"/>
      <x:c r="H99" s="113"/>
      <x:c r="I99" s="113"/>
      <x:c r="J99" s="113"/>
      <x:c r="K99" s="113"/>
      <x:c r="L99" s="113"/>
      <x:c r="M99" s="113"/>
      <x:c r="N99" s="113"/>
      <x:c r="O99" s="113"/>
    </x:row>
    <x:row r="100">
      <x:c r="A100" s="113"/>
      <x:c r="B100" s="113"/>
      <x:c r="C100" s="113"/>
      <x:c r="D100" s="113"/>
      <x:c r="E100" s="113"/>
      <x:c r="F100" s="113"/>
      <x:c r="G100" s="113"/>
      <x:c r="H100" s="113"/>
      <x:c r="I100" s="113"/>
      <x:c r="J100" s="113"/>
      <x:c r="K100" s="113"/>
      <x:c r="L100" s="113"/>
      <x:c r="M100" s="113"/>
      <x:c r="N100" s="113"/>
      <x:c r="O100" s="113"/>
    </x:row>
    <x:row r="101">
      <x:c r="A101" s="113"/>
      <x:c r="B101" s="113"/>
      <x:c r="C101" s="113"/>
      <x:c r="D101" s="113"/>
      <x:c r="E101" s="113"/>
      <x:c r="F101" s="113"/>
      <x:c r="G101" s="113"/>
      <x:c r="H101" s="113"/>
      <x:c r="I101" s="113"/>
      <x:c r="J101" s="113"/>
      <x:c r="K101" s="113"/>
      <x:c r="L101" s="113"/>
      <x:c r="M101" s="113"/>
      <x:c r="N101" s="113"/>
      <x:c r="O101" s="113"/>
    </x:row>
    <x:row r="102">
      <x:c r="A102" s="113"/>
      <x:c r="B102" s="113"/>
      <x:c r="C102" s="113"/>
      <x:c r="D102" s="113"/>
      <x:c r="E102" s="113"/>
      <x:c r="F102" s="113"/>
      <x:c r="G102" s="113"/>
      <x:c r="H102" s="113"/>
      <x:c r="I102" s="113"/>
      <x:c r="J102" s="113"/>
      <x:c r="K102" s="113"/>
      <x:c r="L102" s="113"/>
      <x:c r="M102" s="113"/>
      <x:c r="N102" s="113"/>
      <x:c r="O102" s="113"/>
    </x:row>
    <x:row r="103">
      <x:c r="A103" s="113"/>
      <x:c r="B103" s="113"/>
      <x:c r="C103" s="113"/>
      <x:c r="D103" s="113"/>
      <x:c r="E103" s="113"/>
      <x:c r="F103" s="113"/>
      <x:c r="G103" s="113"/>
      <x:c r="H103" s="113"/>
      <x:c r="I103" s="113"/>
      <x:c r="J103" s="113"/>
      <x:c r="K103" s="113"/>
      <x:c r="L103" s="113"/>
      <x:c r="M103" s="113"/>
      <x:c r="N103" s="113"/>
      <x:c r="O103" s="113"/>
    </x:row>
    <x:row r="104">
      <x:c r="A104" s="113"/>
      <x:c r="B104" s="113"/>
      <x:c r="C104" s="113"/>
      <x:c r="D104" s="113"/>
      <x:c r="E104" s="113"/>
      <x:c r="F104" s="113"/>
      <x:c r="G104" s="113"/>
      <x:c r="H104" s="113"/>
      <x:c r="I104" s="113"/>
      <x:c r="J104" s="113"/>
      <x:c r="K104" s="113"/>
      <x:c r="L104" s="113"/>
      <x:c r="M104" s="113"/>
      <x:c r="N104" s="113"/>
      <x:c r="O104" s="113"/>
    </x:row>
    <x:row r="105">
      <x:c r="A105" s="113"/>
      <x:c r="B105" s="113"/>
      <x:c r="C105" s="113"/>
      <x:c r="D105" s="113"/>
      <x:c r="E105" s="113"/>
      <x:c r="F105" s="113"/>
      <x:c r="G105" s="113"/>
      <x:c r="H105" s="113"/>
      <x:c r="I105" s="113"/>
      <x:c r="J105" s="113"/>
      <x:c r="K105" s="113"/>
      <x:c r="L105" s="113"/>
      <x:c r="M105" s="113"/>
      <x:c r="N105" s="113"/>
      <x:c r="O105" s="113"/>
    </x:row>
    <x:row r="106">
      <x:c r="A106" s="113"/>
      <x:c r="B106" s="113"/>
      <x:c r="C106" s="113"/>
      <x:c r="D106" s="113"/>
      <x:c r="E106" s="113"/>
      <x:c r="F106" s="113"/>
      <x:c r="G106" s="113"/>
      <x:c r="H106" s="113"/>
      <x:c r="I106" s="113"/>
      <x:c r="J106" s="113"/>
      <x:c r="K106" s="113"/>
      <x:c r="L106" s="113"/>
      <x:c r="M106" s="113"/>
      <x:c r="N106" s="113"/>
      <x:c r="O106" s="113"/>
    </x:row>
    <x:row r="107">
      <x:c r="A107" s="113"/>
      <x:c r="B107" s="113"/>
      <x:c r="C107" s="113"/>
      <x:c r="D107" s="113"/>
      <x:c r="E107" s="113"/>
      <x:c r="F107" s="113"/>
      <x:c r="G107" s="113"/>
      <x:c r="H107" s="113"/>
      <x:c r="I107" s="113"/>
      <x:c r="J107" s="113"/>
      <x:c r="K107" s="113"/>
      <x:c r="L107" s="113"/>
      <x:c r="M107" s="113"/>
      <x:c r="N107" s="113"/>
      <x:c r="O107" s="113"/>
    </x:row>
    <x:row r="108">
      <x:c r="A108" s="113"/>
      <x:c r="B108" s="113"/>
      <x:c r="C108" s="113"/>
      <x:c r="D108" s="113"/>
      <x:c r="E108" s="113"/>
      <x:c r="F108" s="113"/>
      <x:c r="G108" s="113"/>
      <x:c r="H108" s="113"/>
      <x:c r="I108" s="113"/>
      <x:c r="J108" s="113"/>
      <x:c r="K108" s="113"/>
      <x:c r="L108" s="113"/>
      <x:c r="M108" s="113"/>
      <x:c r="N108" s="113"/>
      <x:c r="O108" s="113"/>
    </x:row>
    <x:row r="109">
      <x:c r="A109" s="113"/>
      <x:c r="B109" s="113"/>
      <x:c r="C109" s="113"/>
      <x:c r="D109" s="113"/>
      <x:c r="E109" s="113"/>
      <x:c r="F109" s="113"/>
      <x:c r="G109" s="113"/>
      <x:c r="H109" s="113"/>
      <x:c r="I109" s="113"/>
      <x:c r="J109" s="113"/>
      <x:c r="K109" s="113"/>
      <x:c r="L109" s="113"/>
      <x:c r="M109" s="113"/>
      <x:c r="N109" s="113"/>
      <x:c r="O109" s="113"/>
    </x:row>
    <x:row r="110">
      <x:c r="A110" s="113"/>
      <x:c r="B110" s="113"/>
      <x:c r="C110" s="113"/>
      <x:c r="D110" s="113"/>
      <x:c r="E110" s="113"/>
      <x:c r="F110" s="113"/>
      <x:c r="G110" s="113"/>
      <x:c r="H110" s="113"/>
      <x:c r="I110" s="113"/>
      <x:c r="J110" s="113"/>
      <x:c r="K110" s="113"/>
      <x:c r="L110" s="113"/>
      <x:c r="M110" s="113"/>
      <x:c r="N110" s="113"/>
      <x:c r="O110" s="113"/>
    </x:row>
    <x:row r="111">
      <x:c r="A111" s="113"/>
      <x:c r="B111" s="113"/>
      <x:c r="C111" s="113"/>
      <x:c r="D111" s="113"/>
      <x:c r="E111" s="113"/>
      <x:c r="F111" s="113"/>
      <x:c r="G111" s="113"/>
      <x:c r="H111" s="113"/>
      <x:c r="I111" s="113"/>
      <x:c r="J111" s="113"/>
      <x:c r="K111" s="113"/>
      <x:c r="L111" s="113"/>
      <x:c r="M111" s="113"/>
      <x:c r="N111" s="113"/>
      <x:c r="O111" s="113"/>
    </x:row>
    <x:row r="112">
      <x:c r="A112" s="113"/>
      <x:c r="B112" s="113"/>
      <x:c r="C112" s="113"/>
      <x:c r="D112" s="113"/>
      <x:c r="E112" s="113"/>
      <x:c r="F112" s="113"/>
      <x:c r="G112" s="113"/>
      <x:c r="H112" s="113"/>
      <x:c r="I112" s="113"/>
      <x:c r="J112" s="113"/>
      <x:c r="K112" s="113"/>
      <x:c r="L112" s="113"/>
      <x:c r="M112" s="113"/>
      <x:c r="N112" s="113"/>
      <x:c r="O112" s="113"/>
    </x:row>
    <x:row r="113">
      <x:c r="A113" s="113"/>
      <x:c r="B113" s="113"/>
      <x:c r="C113" s="113"/>
      <x:c r="D113" s="113"/>
      <x:c r="E113" s="113"/>
      <x:c r="F113" s="113"/>
      <x:c r="G113" s="113"/>
      <x:c r="H113" s="113"/>
      <x:c r="I113" s="113"/>
      <x:c r="J113" s="113"/>
      <x:c r="K113" s="113"/>
      <x:c r="L113" s="113"/>
      <x:c r="M113" s="113"/>
      <x:c r="N113" s="113"/>
      <x:c r="O113" s="113"/>
    </x:row>
    <x:row r="114">
      <x:c r="A114" s="113"/>
      <x:c r="B114" s="113"/>
      <x:c r="C114" s="113"/>
      <x:c r="D114" s="113"/>
      <x:c r="E114" s="113"/>
      <x:c r="F114" s="113"/>
      <x:c r="G114" s="113"/>
      <x:c r="H114" s="113"/>
      <x:c r="I114" s="113"/>
      <x:c r="J114" s="113"/>
      <x:c r="K114" s="113"/>
      <x:c r="L114" s="113"/>
      <x:c r="M114" s="113"/>
      <x:c r="N114" s="113"/>
      <x:c r="O114" s="113"/>
    </x:row>
    <x:row r="115">
      <x:c r="A115" s="113"/>
      <x:c r="B115" s="113"/>
      <x:c r="C115" s="113"/>
      <x:c r="D115" s="113"/>
      <x:c r="E115" s="113"/>
      <x:c r="F115" s="113"/>
      <x:c r="G115" s="113"/>
      <x:c r="H115" s="113"/>
      <x:c r="I115" s="113"/>
      <x:c r="J115" s="113"/>
      <x:c r="K115" s="113"/>
      <x:c r="L115" s="113"/>
      <x:c r="M115" s="113"/>
      <x:c r="N115" s="113"/>
      <x:c r="O115" s="113"/>
    </x:row>
    <x:row r="116">
      <x:c r="A116" s="113"/>
      <x:c r="B116" s="113"/>
      <x:c r="C116" s="113"/>
      <x:c r="D116" s="113"/>
      <x:c r="E116" s="113"/>
      <x:c r="F116" s="113"/>
      <x:c r="G116" s="113"/>
      <x:c r="H116" s="113"/>
      <x:c r="I116" s="113"/>
      <x:c r="J116" s="113"/>
      <x:c r="K116" s="113"/>
      <x:c r="L116" s="113"/>
      <x:c r="M116" s="113"/>
      <x:c r="N116" s="113"/>
      <x:c r="O116" s="113"/>
    </x:row>
    <x:row r="117">
      <x:c r="A117" s="113"/>
      <x:c r="B117" s="113"/>
      <x:c r="C117" s="113"/>
      <x:c r="D117" s="113"/>
      <x:c r="E117" s="113"/>
      <x:c r="F117" s="113"/>
      <x:c r="G117" s="113"/>
      <x:c r="H117" s="113"/>
      <x:c r="I117" s="113"/>
      <x:c r="J117" s="113"/>
      <x:c r="K117" s="113"/>
      <x:c r="L117" s="113"/>
      <x:c r="M117" s="113"/>
      <x:c r="N117" s="113"/>
      <x:c r="O117" s="113"/>
    </x:row>
    <x:row r="118">
      <x:c r="A118" s="113"/>
      <x:c r="B118" s="113"/>
      <x:c r="C118" s="113"/>
      <x:c r="D118" s="113"/>
      <x:c r="E118" s="113"/>
      <x:c r="F118" s="113"/>
      <x:c r="G118" s="113"/>
      <x:c r="H118" s="113"/>
      <x:c r="I118" s="113"/>
      <x:c r="J118" s="113"/>
      <x:c r="K118" s="113"/>
      <x:c r="L118" s="113"/>
      <x:c r="M118" s="113"/>
      <x:c r="N118" s="113"/>
      <x:c r="O118" s="113"/>
    </x:row>
    <x:row r="119">
      <x:c r="A119" s="113"/>
      <x:c r="B119" s="113"/>
      <x:c r="C119" s="113"/>
      <x:c r="D119" s="113"/>
      <x:c r="E119" s="113"/>
      <x:c r="F119" s="113"/>
      <x:c r="G119" s="113"/>
      <x:c r="H119" s="113"/>
      <x:c r="I119" s="113"/>
      <x:c r="J119" s="113"/>
      <x:c r="K119" s="113"/>
      <x:c r="L119" s="113"/>
      <x:c r="M119" s="113"/>
      <x:c r="N119" s="113"/>
      <x:c r="O119" s="113"/>
    </x:row>
    <x:row r="120">
      <x:c r="A120" s="113"/>
      <x:c r="B120" s="113"/>
      <x:c r="C120" s="113"/>
      <x:c r="D120" s="113"/>
      <x:c r="E120" s="113"/>
      <x:c r="F120" s="113"/>
      <x:c r="G120" s="113"/>
      <x:c r="H120" s="113"/>
      <x:c r="I120" s="113"/>
      <x:c r="J120" s="113"/>
      <x:c r="K120" s="113"/>
      <x:c r="L120" s="113"/>
      <x:c r="M120" s="113"/>
      <x:c r="N120" s="113"/>
      <x:c r="O120" s="113"/>
    </x:row>
  </x:sheetData>
  <x:mergeCells>
    <x:mergeCell ref="A1:L1"/>
    <x:mergeCell ref="A2:L3"/>
  </x:mergeCells>
  <x:conditionalFormatting sqref="K6:K60">
    <x:cfRule type="expression" dxfId="0" priority="1">
      <x:formula>K6="P0"</x:formula>
    </x:cfRule>
  </x:conditionalFormatting>
  <x:dataValidations count="1">
    <x:dataValidation type="list" sqref="K6:K60">
      <x:formula1>"P0,P1,P2"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8" hidden="0" customWidth="1"/>
    <x:col min="5" max="5" width="12" hidden="0" customWidth="1"/>
    <x:col min="6" max="6" width="12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</x:cols>
  <x:sheetData>
    <x:row r="1" ht="28" customHeight="1">
      <x:c r="A1" s="77" t="str">
        <x:v>开源组件选型、替代方案与医院适配矩阵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113"/>
      <x:c r="N1" s="113"/>
      <x:c r="O1" s="113"/>
    </x:row>
    <x:row r="2">
      <x:c r="A2" s="113"/>
      <x:c r="B2" s="113"/>
      <x:c r="C2" s="113"/>
      <x:c r="D2" s="113"/>
      <x:c r="E2" s="113"/>
      <x:c r="F2" s="113"/>
      <x:c r="G2" s="113"/>
      <x:c r="H2" s="113"/>
      <x:c r="I2" s="113"/>
      <x:c r="J2" s="113"/>
      <x:c r="K2" s="113"/>
      <x:c r="L2" s="113"/>
      <x:c r="M2" s="113"/>
      <x:c r="N2" s="113"/>
      <x:c r="O2" s="113"/>
    </x:row>
    <x:row r="3">
      <x:c r="A3" s="113"/>
      <x:c r="B3" s="113"/>
      <x:c r="C3" s="113"/>
      <x:c r="D3" s="113"/>
      <x:c r="E3" s="113"/>
      <x:c r="F3" s="113"/>
      <x:c r="G3" s="113"/>
      <x:c r="H3" s="113"/>
      <x:c r="I3" s="113"/>
      <x:c r="J3" s="113"/>
      <x:c r="K3" s="113"/>
      <x:c r="L3" s="113"/>
      <x:c r="M3" s="113"/>
      <x:c r="N3" s="113"/>
      <x:c r="O3" s="113"/>
    </x:row>
    <x:row r="4">
      <x:c r="A4" s="80" t="str">
        <x:v>能力域</x:v>
      </x:c>
      <x:c r="B4" s="81" t="str">
        <x:v>首选组件</x:v>
      </x:c>
      <x:c r="C4" s="81" t="str">
        <x:v>替代/补充</x:v>
      </x:c>
      <x:c r="D4" s="81" t="str">
        <x:v>部署建议</x:v>
      </x:c>
      <x:c r="E4" s="81" t="str">
        <x:v>医院适配性</x:v>
      </x:c>
      <x:c r="F4" s="81" t="str">
        <x:v>复杂度</x:v>
      </x:c>
      <x:c r="G4" s="81" t="str">
        <x:v>关键风险</x:v>
      </x:c>
      <x:c r="H4" s="81" t="str">
        <x:v>验收重点</x:v>
      </x:c>
      <x:c r="I4" s="81" t="str">
        <x:v>是否需自研</x:v>
      </x:c>
      <x:c r="J4" s="82" t="str">
        <x:v>许可/版本复核</x:v>
      </x:c>
      <x:c r="K4" s="113"/>
      <x:c r="L4" s="113"/>
      <x:c r="M4" s="113"/>
      <x:c r="N4" s="113"/>
      <x:c r="O4" s="113"/>
    </x:row>
    <x:row r="5">
      <x:c r="A5" s="115" t="str">
        <x:v>MDM业务层</x:v>
      </x:c>
      <x:c r="B5" s="116" t="str">
        <x:v>自研轻量MDM微服务</x:v>
      </x:c>
      <x:c r="C5" s="116" t="str">
        <x:v>商业MDM增强</x:v>
      </x:c>
      <x:c r="D5" s="116" t="str">
        <x:v>K8s 3+副本+PostgreSQL</x:v>
      </x:c>
      <x:c r="E5" s="116" t="str">
        <x:v>高</x:v>
      </x:c>
      <x:c r="F5" s="116" t="str">
        <x:v>高</x:v>
      </x:c>
      <x:c r="G5" s="116" t="str">
        <x:v>规则、流程、金记录是医院特有</x:v>
      </x:c>
      <x:c r="H5" s="116" t="str">
        <x:v>合并/回滚/版本/审计</x:v>
      </x:c>
      <x:c r="I5" s="116" t="str">
        <x:v>是</x:v>
      </x:c>
      <x:c r="J5" s="119" t="str">
        <x:v>核心知识产权与源码托管</x:v>
      </x:c>
      <x:c r="K5" s="113"/>
      <x:c r="L5" s="113"/>
      <x:c r="M5" s="113"/>
      <x:c r="N5" s="113"/>
      <x:c r="O5" s="113"/>
    </x:row>
    <x:row r="6">
      <x:c r="A6" s="115" t="str">
        <x:v>患者匹配</x:v>
      </x:c>
      <x:c r="B6" s="116" t="str">
        <x:v>Splink/Zingg PoC择优</x:v>
      </x:c>
      <x:c r="C6" s="116" t="str">
        <x:v>OpenEMPI需许可复核</x:v>
      </x:c>
      <x:c r="D6" s="116" t="str">
        <x:v>批处理与在线候选分离</x:v>
      </x:c>
      <x:c r="E6" s="116" t="str">
        <x:v>中高</x:v>
      </x:c>
      <x:c r="F6" s="116" t="str">
        <x:v>中高</x:v>
      </x:c>
      <x:c r="G6" s="116" t="str">
        <x:v>误合并患者安全风险</x:v>
      </x:c>
      <x:c r="H6" s="116" t="str">
        <x:v>精确率、召回率、灰区人工复核</x:v>
      </x:c>
      <x:c r="I6" s="116" t="str">
        <x:v>规则需自研</x:v>
      </x:c>
      <x:c r="J6" s="119" t="str">
        <x:v>许可证与模型可解释性</x:v>
      </x:c>
      <x:c r="K6" s="113"/>
      <x:c r="L6" s="113"/>
      <x:c r="M6" s="113"/>
      <x:c r="N6" s="113"/>
      <x:c r="O6" s="113"/>
    </x:row>
    <x:row r="7">
      <x:c r="A7" s="115" t="str">
        <x:v>FHIR服务</x:v>
      </x:c>
      <x:c r="B7" s="116" t="str">
        <x:v>HAPI FHIR JPA R4</x:v>
      </x:c>
      <x:c r="C7" s="116" t="str">
        <x:v>商业FHIR Server</x:v>
      </x:c>
      <x:c r="D7" s="116" t="str">
        <x:v>3+副本，外置DB</x:v>
      </x:c>
      <x:c r="E7" s="116" t="str">
        <x:v>高</x:v>
      </x:c>
      <x:c r="F7" s="116" t="str">
        <x:v>中</x:v>
      </x:c>
      <x:c r="G7" s="116" t="str">
        <x:v>资源边界与院内模型混淆</x:v>
      </x:c>
      <x:c r="H7" s="116" t="str">
        <x:v>CapabilityStatement、性能、版本</x:v>
      </x:c>
      <x:c r="I7" s="116" t="str">
        <x:v>映射需自研</x:v>
      </x:c>
      <x:c r="J7" s="119" t="str">
        <x:v>R4基线，R5网关演进</x:v>
      </x:c>
      <x:c r="K7" s="113"/>
      <x:c r="L7" s="113"/>
      <x:c r="M7" s="113"/>
      <x:c r="N7" s="113"/>
      <x:c r="O7" s="113"/>
    </x:row>
    <x:row r="8">
      <x:c r="A8" s="115" t="str">
        <x:v>接口与文件</x:v>
      </x:c>
      <x:c r="B8" s="116" t="str">
        <x:v>Apache NiFi</x:v>
      </x:c>
      <x:c r="C8" s="116" t="str">
        <x:v>Mirth Connect(医疗接口)</x:v>
      </x:c>
      <x:c r="D8" s="116" t="str">
        <x:v>3节点+LB+Flow版本化</x:v>
      </x:c>
      <x:c r="E8" s="116" t="str">
        <x:v>高</x:v>
      </x:c>
      <x:c r="F8" s="116" t="str">
        <x:v>中</x:v>
      </x:c>
      <x:c r="G8" s="116" t="str">
        <x:v>队列堆积、磁盘、流程失控</x:v>
      </x:c>
      <x:c r="H8" s="116" t="str">
        <x:v>背压、补偿、Provenance</x:v>
      </x:c>
      <x:c r="I8" s="116" t="str">
        <x:v>适配器需自研</x:v>
      </x:c>
      <x:c r="J8" s="119" t="str">
        <x:v>社区维护与插件CVE</x:v>
      </x:c>
      <x:c r="K8" s="113"/>
      <x:c r="L8" s="113"/>
      <x:c r="M8" s="113"/>
      <x:c r="N8" s="113"/>
      <x:c r="O8" s="113"/>
    </x:row>
    <x:row r="9">
      <x:c r="A9" s="115" t="str">
        <x:v>批量采集</x:v>
      </x:c>
      <x:c r="B9" s="116" t="str">
        <x:v>Apache SeaTunnel</x:v>
      </x:c>
      <x:c r="C9" s="116" t="str">
        <x:v>Airbyte</x:v>
      </x:c>
      <x:c r="D9" s="116" t="str">
        <x:v>K8s/独立资源队列</x:v>
      </x:c>
      <x:c r="E9" s="116" t="str">
        <x:v>高</x:v>
      </x:c>
      <x:c r="F9" s="116" t="str">
        <x:v>中</x:v>
      </x:c>
      <x:c r="G9" s="116" t="str">
        <x:v>连接器质量差异</x:v>
      </x:c>
      <x:c r="H9" s="116" t="str">
        <x:v>断点续传、回灌隔离</x:v>
      </x:c>
      <x:c r="I9" s="116" t="str">
        <x:v>少量</x:v>
      </x:c>
      <x:c r="J9" s="119" t="str">
        <x:v>逐源系统PoC</x:v>
      </x:c>
      <x:c r="K9" s="113"/>
      <x:c r="L9" s="113"/>
      <x:c r="M9" s="113"/>
      <x:c r="N9" s="113"/>
      <x:c r="O9" s="113"/>
    </x:row>
    <x:row r="10">
      <x:c r="A10" s="115" t="str">
        <x:v>CDC</x:v>
      </x:c>
      <x:c r="B10" s="116" t="str">
        <x:v>Debezium</x:v>
      </x:c>
      <x:c r="C10" s="116" t="str">
        <x:v>Flink CDC</x:v>
      </x:c>
      <x:c r="D10" s="116" t="str">
        <x:v>Connect集群3节点</x:v>
      </x:c>
      <x:c r="E10" s="116" t="str">
        <x:v>高</x:v>
      </x:c>
      <x:c r="F10" s="116" t="str">
        <x:v>中</x:v>
      </x:c>
      <x:c r="G10" s="116" t="str">
        <x:v>源库日志、DDL、LOB</x:v>
      </x:c>
      <x:c r="H10" s="116" t="str">
        <x:v>无丢失、低影响、位点恢复</x:v>
      </x:c>
      <x:c r="I10" s="116" t="str">
        <x:v>少量</x:v>
      </x:c>
      <x:c r="J10" s="119" t="str">
        <x:v>Oracle/SQL Server专项验证</x:v>
      </x:c>
      <x:c r="K10" s="113"/>
      <x:c r="L10" s="113"/>
      <x:c r="M10" s="113"/>
      <x:c r="N10" s="113"/>
      <x:c r="O10" s="113"/>
    </x:row>
    <x:row r="11">
      <x:c r="A11" s="115" t="str">
        <x:v>事件总线</x:v>
      </x:c>
      <x:c r="B11" s="116" t="str">
        <x:v>Apache Kafka KRaft</x:v>
      </x:c>
      <x:c r="C11" s="116" t="str">
        <x:v>Pulsar</x:v>
      </x:c>
      <x:c r="D11" s="116" t="str">
        <x:v>3控制器+5 Broker</x:v>
      </x:c>
      <x:c r="E11" s="116" t="str">
        <x:v>高</x:v>
      </x:c>
      <x:c r="F11" s="116" t="str">
        <x:v>高</x:v>
      </x:c>
      <x:c r="G11" s="116" t="str">
        <x:v>Schema、ACL、积压、乱序</x:v>
      </x:c>
      <x:c r="H11" s="116" t="str">
        <x:v>RF3/minISR2/DLQ/回放</x:v>
      </x:c>
      <x:c r="I11" s="116" t="str">
        <x:v>治理工具需自研</x:v>
      </x:c>
      <x:c r="J11" s="119" t="str">
        <x:v>4.x兼容矩阵</x:v>
      </x:c>
      <x:c r="K11" s="113"/>
      <x:c r="L11" s="113"/>
      <x:c r="M11" s="113"/>
      <x:c r="N11" s="113"/>
      <x:c r="O11" s="113"/>
    </x:row>
    <x:row r="12">
      <x:c r="A12" s="115" t="str">
        <x:v>对象存储</x:v>
      </x:c>
      <x:c r="B12" s="116" t="str">
        <x:v>Ceph RGW</x:v>
      </x:c>
      <x:c r="C12" s="116" t="str">
        <x:v>MinIO/国产对象存储</x:v>
      </x:c>
      <x:c r="D12" s="116" t="str">
        <x:v>6-8节点起，多故障域</x:v>
      </x:c>
      <x:c r="E12" s="116" t="str">
        <x:v>高</x:v>
      </x:c>
      <x:c r="F12" s="116" t="str">
        <x:v>高</x:v>
      </x:c>
      <x:c r="G12" s="116" t="str">
        <x:v>运维复杂、磁盘/网络瓶颈</x:v>
      </x:c>
      <x:c r="H12" s="116" t="str">
        <x:v>节点/盘故障、扩容、Multisite</x:v>
      </x:c>
      <x:c r="I12" s="116" t="str">
        <x:v>否</x:v>
      </x:c>
      <x:c r="J12" s="119" t="str">
        <x:v>硬件兼容与社区支持</x:v>
      </x:c>
      <x:c r="K12" s="113"/>
      <x:c r="L12" s="113"/>
      <x:c r="M12" s="113"/>
      <x:c r="N12" s="113"/>
      <x:c r="O12" s="113"/>
    </x:row>
    <x:row r="13">
      <x:c r="A13" s="115" t="str">
        <x:v>湖仓表格式</x:v>
      </x:c>
      <x:c r="B13" s="116" t="str">
        <x:v>Apache Iceberg</x:v>
      </x:c>
      <x:c r="C13" s="116" t="str">
        <x:v>Paimon/Hudi</x:v>
      </x:c>
      <x:c r="D13" s="116" t="str">
        <x:v>Catalog HA+对象存储</x:v>
      </x:c>
      <x:c r="E13" s="116" t="str">
        <x:v>高</x:v>
      </x:c>
      <x:c r="F13" s="116" t="str">
        <x:v>中</x:v>
      </x:c>
      <x:c r="G13" s="116" t="str">
        <x:v>小文件、提交冲突</x:v>
      </x:c>
      <x:c r="H13" s="116" t="str">
        <x:v>Schema/分区演进、快照回滚</x:v>
      </x:c>
      <x:c r="I13" s="116" t="str">
        <x:v>少量</x:v>
      </x:c>
      <x:c r="J13" s="119" t="str">
        <x:v>引擎兼容性</x:v>
      </x:c>
      <x:c r="K13" s="113"/>
      <x:c r="L13" s="113"/>
      <x:c r="M13" s="113"/>
      <x:c r="N13" s="113"/>
      <x:c r="O13" s="113"/>
    </x:row>
    <x:row r="14">
      <x:c r="A14" s="115" t="str">
        <x:v>查询引擎</x:v>
      </x:c>
      <x:c r="B14" s="116" t="str">
        <x:v>Trino</x:v>
      </x:c>
      <x:c r="C14" s="116" t="str">
        <x:v>Spark SQL/Doris</x:v>
      </x:c>
      <x:c r="D14" s="116" t="str">
        <x:v>2协调+6 Worker</x:v>
      </x:c>
      <x:c r="E14" s="116" t="str">
        <x:v>高</x:v>
      </x:c>
      <x:c r="F14" s="116" t="str">
        <x:v>中高</x:v>
      </x:c>
      <x:c r="G14" s="116" t="str">
        <x:v>Coordinator会话、资源争抢</x:v>
      </x:c>
      <x:c r="H14" s="116" t="str">
        <x:v>并发、资源组、重试</x:v>
      </x:c>
      <x:c r="I14" s="116" t="str">
        <x:v>语义层需自研</x:v>
      </x:c>
      <x:c r="J14" s="119" t="str">
        <x:v>连接器版本</x:v>
      </x:c>
      <x:c r="K14" s="113"/>
      <x:c r="L14" s="113"/>
      <x:c r="M14" s="113"/>
      <x:c r="N14" s="113"/>
      <x:c r="O14" s="113"/>
    </x:row>
    <x:row r="15">
      <x:c r="A15" s="115" t="str">
        <x:v>服务加速</x:v>
      </x:c>
      <x:c r="B15" s="116" t="str">
        <x:v>现有Doris保留升级</x:v>
      </x:c>
      <x:c r="C15" s="116" t="str">
        <x:v>StarRocks/ClickHouse</x:v>
      </x:c>
      <x:c r="D15" s="116" t="str">
        <x:v>蓝绿升级、只做ADS</x:v>
      </x:c>
      <x:c r="E15" s="116" t="str">
        <x:v>中高</x:v>
      </x:c>
      <x:c r="F15" s="116" t="str">
        <x:v>中</x:v>
      </x:c>
      <x:c r="G15" s="116" t="str">
        <x:v>旧版本债务、双口径</x:v>
      </x:c>
      <x:c r="H15" s="116" t="str">
        <x:v>对账、回退、资源隔离</x:v>
      </x:c>
      <x:c r="I15" s="116" t="str">
        <x:v>模型需自研</x:v>
      </x:c>
      <x:c r="J15" s="119" t="str">
        <x:v>不要让Doris成为唯一事实源</x:v>
      </x:c>
      <x:c r="K15" s="113"/>
      <x:c r="L15" s="113"/>
      <x:c r="M15" s="113"/>
      <x:c r="N15" s="113"/>
      <x:c r="O15" s="113"/>
    </x:row>
    <x:row r="16">
      <x:c r="A16" s="115" t="str">
        <x:v>元数据目录</x:v>
      </x:c>
      <x:c r="B16" s="116" t="str">
        <x:v>OpenMetadata</x:v>
      </x:c>
      <x:c r="C16" s="116" t="str">
        <x:v>DataHub</x:v>
      </x:c>
      <x:c r="D16" s="116" t="str">
        <x:v>外置PG/OpenSearch</x:v>
      </x:c>
      <x:c r="E16" s="116" t="str">
        <x:v>高</x:v>
      </x:c>
      <x:c r="F16" s="116" t="str">
        <x:v>中高</x:v>
      </x:c>
      <x:c r="G16" s="116" t="str">
        <x:v>全量采集后无人运营</x:v>
      </x:c>
      <x:c r="H16" s="116" t="str">
        <x:v>Owner/血缘/术语/使用率</x:v>
      </x:c>
      <x:c r="I16" s="116" t="str">
        <x:v>扩展需少量</x:v>
      </x:c>
      <x:c r="J16" s="119" t="str">
        <x:v>版本与Connector兼容</x:v>
      </x:c>
      <x:c r="K16" s="113"/>
      <x:c r="L16" s="113"/>
      <x:c r="M16" s="113"/>
      <x:c r="N16" s="113"/>
      <x:c r="O16" s="113"/>
    </x:row>
    <x:row r="17">
      <x:c r="A17" s="115" t="str">
        <x:v>数据质量</x:v>
      </x:c>
      <x:c r="B17" s="116" t="str">
        <x:v>Great Expectations+Soda Core</x:v>
      </x:c>
      <x:c r="C17" s="116" t="str">
        <x:v>自研SQL规则</x:v>
      </x:c>
      <x:c r="D17" s="116" t="str">
        <x:v>作为发布门禁和巡检</x:v>
      </x:c>
      <x:c r="E17" s="116" t="str">
        <x:v>高</x:v>
      </x:c>
      <x:c r="F17" s="116" t="str">
        <x:v>中</x:v>
      </x:c>
      <x:c r="G17" s="116" t="str">
        <x:v>规则即代码，业务参与弱</x:v>
      </x:c>
      <x:c r="H17" s="116" t="str">
        <x:v>阻断、工单、证据、SLA</x:v>
      </x:c>
      <x:c r="I17" s="116" t="str">
        <x:v>流程需自研</x:v>
      </x:c>
      <x:c r="J17" s="119" t="str">
        <x:v>开源版边界</x:v>
      </x:c>
      <x:c r="K17" s="113"/>
      <x:c r="L17" s="113"/>
      <x:c r="M17" s="113"/>
      <x:c r="N17" s="113"/>
      <x:c r="O17" s="113"/>
    </x:row>
    <x:row r="18">
      <x:c r="A18" s="115" t="str">
        <x:v>IAM</x:v>
      </x:c>
      <x:c r="B18" s="116" t="str">
        <x:v>Keycloak</x:v>
      </x:c>
      <x:c r="C18" s="116" t="str">
        <x:v>医院统一认证</x:v>
      </x:c>
      <x:c r="D18" s="116" t="str">
        <x:v>3副本+外置PG</x:v>
      </x:c>
      <x:c r="E18" s="116" t="str">
        <x:v>高</x:v>
      </x:c>
      <x:c r="F18" s="116" t="str">
        <x:v>中</x:v>
      </x:c>
      <x:c r="G18" s="116" t="str">
        <x:v>事件/缓存/离职账号</x:v>
      </x:c>
      <x:c r="H18" s="116" t="str">
        <x:v>MFA/OIDC/服务账号/审计</x:v>
      </x:c>
      <x:c r="I18" s="116" t="str">
        <x:v>集成需自研</x:v>
      </x:c>
      <x:c r="J18" s="119" t="str">
        <x:v>HA配置与升级</x:v>
      </x:c>
      <x:c r="K18" s="113"/>
      <x:c r="L18" s="113"/>
      <x:c r="M18" s="113"/>
      <x:c r="N18" s="113"/>
      <x:c r="O18" s="113"/>
    </x:row>
    <x:row r="19">
      <x:c r="A19" s="115" t="str">
        <x:v>API网关</x:v>
      </x:c>
      <x:c r="B19" s="116" t="str">
        <x:v>Apache APISIX</x:v>
      </x:c>
      <x:c r="C19" s="116" t="str">
        <x:v>Kong社区版</x:v>
      </x:c>
      <x:c r="D19" s="116" t="str">
        <x:v>2+副本+etcd</x:v>
      </x:c>
      <x:c r="E19" s="116" t="str">
        <x:v>高</x:v>
      </x:c>
      <x:c r="F19" s="116" t="str">
        <x:v>中</x:v>
      </x:c>
      <x:c r="G19" s="116" t="str">
        <x:v>插件与策略碎片化</x:v>
      </x:c>
      <x:c r="H19" s="116" t="str">
        <x:v>mTLS/OIDC/限流/审计</x:v>
      </x:c>
      <x:c r="I19" s="116" t="str">
        <x:v>策略需自研</x:v>
      </x:c>
      <x:c r="J19" s="119" t="str">
        <x:v>etcd HA</x:v>
      </x:c>
      <x:c r="K19" s="113"/>
      <x:c r="L19" s="113"/>
      <x:c r="M19" s="113"/>
      <x:c r="N19" s="113"/>
      <x:c r="O19" s="113"/>
    </x:row>
    <x:row r="20">
      <x:c r="A20" s="115" t="str">
        <x:v>策略引擎</x:v>
      </x:c>
      <x:c r="B20" s="116" t="str">
        <x:v>OPA</x:v>
      </x:c>
      <x:c r="C20" s="116" t="str">
        <x:v>Apache Ranger(数据引擎可选)</x:v>
      </x:c>
      <x:c r="D20" s="116" t="str">
        <x:v>Sidecar/集中决策</x:v>
      </x:c>
      <x:c r="E20" s="116" t="str">
        <x:v>高</x:v>
      </x:c>
      <x:c r="F20" s="116" t="str">
        <x:v>中</x:v>
      </x:c>
      <x:c r="G20" s="116" t="str">
        <x:v>策略复杂、日志泄敏</x:v>
      </x:c>
      <x:c r="H20" s="116" t="str">
        <x:v>RBAC+ABAC、测试、回滚</x:v>
      </x:c>
      <x:c r="I20" s="116" t="str">
        <x:v>是</x:v>
      </x:c>
      <x:c r="J20" s="119" t="str">
        <x:v>策略即代码</x:v>
      </x:c>
      <x:c r="K20" s="113"/>
      <x:c r="L20" s="113"/>
      <x:c r="M20" s="113"/>
      <x:c r="N20" s="113"/>
      <x:c r="O20" s="113"/>
    </x:row>
    <x:row r="21">
      <x:c r="A21" s="115" t="str">
        <x:v>工作流</x:v>
      </x:c>
      <x:c r="B21" s="116" t="str">
        <x:v>Flowable OSS</x:v>
      </x:c>
      <x:c r="C21" s="116" t="str">
        <x:v>Camunda 7社区/自研</x:v>
      </x:c>
      <x:c r="D21" s="116" t="str">
        <x:v>独立流程服务</x:v>
      </x:c>
      <x:c r="E21" s="116" t="str">
        <x:v>高</x:v>
      </x:c>
      <x:c r="F21" s="116" t="str">
        <x:v>中</x:v>
      </x:c>
      <x:c r="G21" s="116" t="str">
        <x:v>与临床工作流混用</x:v>
      </x:c>
      <x:c r="H21" s="116" t="str">
        <x:v>审批、会签、超时、撤回</x:v>
      </x:c>
      <x:c r="I21" s="116" t="str">
        <x:v>表单需自研</x:v>
      </x:c>
      <x:c r="J21" s="119" t="str">
        <x:v>社区版功能边界</x:v>
      </x:c>
      <x:c r="K21" s="113"/>
      <x:c r="L21" s="113"/>
      <x:c r="M21" s="113"/>
      <x:c r="N21" s="113"/>
      <x:c r="O21" s="113"/>
    </x:row>
    <x:row r="22">
      <x:c r="A22" s="121" t="str">
        <x:v>审计检索</x:v>
      </x:c>
      <x:c r="B22" s="123" t="str">
        <x:v>OpenSearch</x:v>
      </x:c>
      <x:c r="C22" s="123" t="str">
        <x:v>SIEM/国产审计平台</x:v>
      </x:c>
      <x:c r="D22" s="123" t="str">
        <x:v>3 Manager+5 Data</x:v>
      </x:c>
      <x:c r="E22" s="123" t="str">
        <x:v>高</x:v>
      </x:c>
      <x:c r="F22" s="123" t="str">
        <x:v>中高</x:v>
      </x:c>
      <x:c r="G22" s="123" t="str">
        <x:v>索引爆炸与成本</x:v>
      </x:c>
      <x:c r="H22" s="123" t="str">
        <x:v>不可篡改、快照、查询权限</x:v>
      </x:c>
      <x:c r="I22" s="123" t="str">
        <x:v>少量</x:v>
      </x:c>
      <x:c r="J22" s="124" t="str">
        <x:v>数据保留与许可</x:v>
      </x:c>
      <x:c r="K22" s="113"/>
      <x:c r="L22" s="113"/>
      <x:c r="M22" s="113"/>
      <x:c r="N22" s="113"/>
      <x:c r="O22" s="113"/>
    </x:row>
    <x:row r="23">
      <x:c r="A23" s="113"/>
      <x:c r="B23" s="113"/>
      <x:c r="C23" s="113"/>
      <x:c r="D23" s="113"/>
      <x:c r="E23" s="113"/>
      <x:c r="F23" s="113"/>
      <x:c r="G23" s="113"/>
      <x:c r="H23" s="113"/>
      <x:c r="I23" s="113"/>
      <x:c r="J23" s="113"/>
      <x:c r="K23" s="113"/>
      <x:c r="L23" s="113"/>
      <x:c r="M23" s="113"/>
      <x:c r="N23" s="113"/>
      <x:c r="O23" s="113"/>
    </x:row>
    <x:row r="24">
      <x:c r="A24" s="113"/>
      <x:c r="B24" s="113"/>
      <x:c r="C24" s="113"/>
      <x:c r="D24" s="113"/>
      <x:c r="E24" s="113"/>
      <x:c r="F24" s="113"/>
      <x:c r="G24" s="113"/>
      <x:c r="H24" s="113"/>
      <x:c r="I24" s="113"/>
      <x:c r="J24" s="113"/>
      <x:c r="K24" s="113"/>
      <x:c r="L24" s="113"/>
      <x:c r="M24" s="113"/>
      <x:c r="N24" s="113"/>
      <x:c r="O24" s="113"/>
    </x:row>
    <x:row r="25">
      <x:c r="A25" s="113"/>
      <x:c r="B25" s="113"/>
      <x:c r="C25" s="113"/>
      <x:c r="D25" s="113"/>
      <x:c r="E25" s="113"/>
      <x:c r="F25" s="113"/>
      <x:c r="G25" s="113"/>
      <x:c r="H25" s="113"/>
      <x:c r="I25" s="113"/>
      <x:c r="J25" s="113"/>
      <x:c r="K25" s="113"/>
      <x:c r="L25" s="113"/>
      <x:c r="M25" s="113"/>
      <x:c r="N25" s="113"/>
      <x:c r="O25" s="113"/>
    </x:row>
    <x:row r="26">
      <x:c r="A26" s="113"/>
      <x:c r="B26" s="113"/>
      <x:c r="C26" s="113"/>
      <x:c r="D26" s="113"/>
      <x:c r="E26" s="113"/>
      <x:c r="F26" s="113"/>
      <x:c r="G26" s="113"/>
      <x:c r="H26" s="113"/>
      <x:c r="I26" s="113"/>
      <x:c r="J26" s="113"/>
      <x:c r="K26" s="113"/>
      <x:c r="L26" s="113"/>
      <x:c r="M26" s="113"/>
      <x:c r="N26" s="113"/>
      <x:c r="O26" s="113"/>
    </x:row>
    <x:row r="27">
      <x:c r="A27" s="113"/>
      <x:c r="B27" s="113"/>
      <x:c r="C27" s="113"/>
      <x:c r="D27" s="113"/>
      <x:c r="E27" s="113"/>
      <x:c r="F27" s="113"/>
      <x:c r="G27" s="113"/>
      <x:c r="H27" s="113"/>
      <x:c r="I27" s="113"/>
      <x:c r="J27" s="113"/>
      <x:c r="K27" s="113"/>
      <x:c r="L27" s="113"/>
      <x:c r="M27" s="113"/>
      <x:c r="N27" s="113"/>
      <x:c r="O27" s="113"/>
    </x:row>
    <x:row r="28">
      <x:c r="A28" s="113"/>
      <x:c r="B28" s="113"/>
      <x:c r="C28" s="113"/>
      <x:c r="D28" s="113"/>
      <x:c r="E28" s="113"/>
      <x:c r="F28" s="113"/>
      <x:c r="G28" s="113"/>
      <x:c r="H28" s="113"/>
      <x:c r="I28" s="113"/>
      <x:c r="J28" s="113"/>
      <x:c r="K28" s="113"/>
      <x:c r="L28" s="113"/>
      <x:c r="M28" s="113"/>
      <x:c r="N28" s="113"/>
      <x:c r="O28" s="113"/>
    </x:row>
    <x:row r="29">
      <x:c r="A29" s="113"/>
      <x:c r="B29" s="113"/>
      <x:c r="C29" s="113"/>
      <x:c r="D29" s="113"/>
      <x:c r="E29" s="113"/>
      <x:c r="F29" s="113"/>
      <x:c r="G29" s="113"/>
      <x:c r="H29" s="113"/>
      <x:c r="I29" s="113"/>
      <x:c r="J29" s="113"/>
      <x:c r="K29" s="113"/>
      <x:c r="L29" s="113"/>
      <x:c r="M29" s="113"/>
      <x:c r="N29" s="113"/>
      <x:c r="O29" s="113"/>
    </x:row>
    <x:row r="30">
      <x:c r="A30" s="113"/>
      <x:c r="B30" s="113"/>
      <x:c r="C30" s="113"/>
      <x:c r="D30" s="113"/>
      <x:c r="E30" s="113"/>
      <x:c r="F30" s="113"/>
      <x:c r="G30" s="113"/>
      <x:c r="H30" s="113"/>
      <x:c r="I30" s="113"/>
      <x:c r="J30" s="113"/>
      <x:c r="K30" s="113"/>
      <x:c r="L30" s="113"/>
      <x:c r="M30" s="113"/>
      <x:c r="N30" s="113"/>
      <x:c r="O30" s="113"/>
    </x:row>
    <x:row r="31">
      <x:c r="A31" s="113"/>
      <x:c r="B31" s="113"/>
      <x:c r="C31" s="113"/>
      <x:c r="D31" s="113"/>
      <x:c r="E31" s="113"/>
      <x:c r="F31" s="113"/>
      <x:c r="G31" s="113"/>
      <x:c r="H31" s="113"/>
      <x:c r="I31" s="113"/>
      <x:c r="J31" s="113"/>
      <x:c r="K31" s="113"/>
      <x:c r="L31" s="113"/>
      <x:c r="M31" s="113"/>
      <x:c r="N31" s="113"/>
      <x:c r="O31" s="113"/>
    </x:row>
    <x:row r="32">
      <x:c r="A32" s="113"/>
      <x:c r="B32" s="113"/>
      <x:c r="C32" s="113"/>
      <x:c r="D32" s="113"/>
      <x:c r="E32" s="113"/>
      <x:c r="F32" s="113"/>
      <x:c r="G32" s="113"/>
      <x:c r="H32" s="113"/>
      <x:c r="I32" s="113"/>
      <x:c r="J32" s="113"/>
      <x:c r="K32" s="113"/>
      <x:c r="L32" s="113"/>
      <x:c r="M32" s="113"/>
      <x:c r="N32" s="113"/>
      <x:c r="O32" s="113"/>
    </x:row>
    <x:row r="33">
      <x:c r="A33" s="113"/>
      <x:c r="B33" s="113"/>
      <x:c r="C33" s="113"/>
      <x:c r="D33" s="113"/>
      <x:c r="E33" s="113"/>
      <x:c r="F33" s="113"/>
      <x:c r="G33" s="113"/>
      <x:c r="H33" s="113"/>
      <x:c r="I33" s="113"/>
      <x:c r="J33" s="113"/>
      <x:c r="K33" s="113"/>
      <x:c r="L33" s="113"/>
      <x:c r="M33" s="113"/>
      <x:c r="N33" s="113"/>
      <x:c r="O33" s="113"/>
    </x:row>
    <x:row r="34">
      <x:c r="A34" s="113"/>
      <x:c r="B34" s="113"/>
      <x:c r="C34" s="113"/>
      <x:c r="D34" s="113"/>
      <x:c r="E34" s="113"/>
      <x:c r="F34" s="113"/>
      <x:c r="G34" s="113"/>
      <x:c r="H34" s="113"/>
      <x:c r="I34" s="113"/>
      <x:c r="J34" s="113"/>
      <x:c r="K34" s="113"/>
      <x:c r="L34" s="113"/>
      <x:c r="M34" s="113"/>
      <x:c r="N34" s="113"/>
      <x:c r="O34" s="113"/>
    </x:row>
    <x:row r="35">
      <x:c r="A35" s="113"/>
      <x:c r="B35" s="113"/>
      <x:c r="C35" s="113"/>
      <x:c r="D35" s="113"/>
      <x:c r="E35" s="113"/>
      <x:c r="F35" s="113"/>
      <x:c r="G35" s="113"/>
      <x:c r="H35" s="113"/>
      <x:c r="I35" s="113"/>
      <x:c r="J35" s="113"/>
      <x:c r="K35" s="113"/>
      <x:c r="L35" s="113"/>
      <x:c r="M35" s="113"/>
      <x:c r="N35" s="113"/>
      <x:c r="O35" s="113"/>
    </x:row>
    <x:row r="36">
      <x:c r="A36" s="113"/>
      <x:c r="B36" s="113"/>
      <x:c r="C36" s="113"/>
      <x:c r="D36" s="113"/>
      <x:c r="E36" s="113"/>
      <x:c r="F36" s="113"/>
      <x:c r="G36" s="113"/>
      <x:c r="H36" s="113"/>
      <x:c r="I36" s="113"/>
      <x:c r="J36" s="113"/>
      <x:c r="K36" s="113"/>
      <x:c r="L36" s="113"/>
      <x:c r="M36" s="113"/>
      <x:c r="N36" s="113"/>
      <x:c r="O36" s="113"/>
    </x:row>
    <x:row r="37">
      <x:c r="A37" s="113"/>
      <x:c r="B37" s="113"/>
      <x:c r="C37" s="113"/>
      <x:c r="D37" s="113"/>
      <x:c r="E37" s="113"/>
      <x:c r="F37" s="113"/>
      <x:c r="G37" s="113"/>
      <x:c r="H37" s="113"/>
      <x:c r="I37" s="113"/>
      <x:c r="J37" s="113"/>
      <x:c r="K37" s="113"/>
      <x:c r="L37" s="113"/>
      <x:c r="M37" s="113"/>
      <x:c r="N37" s="113"/>
      <x:c r="O37" s="113"/>
    </x:row>
    <x:row r="38">
      <x:c r="A38" s="113"/>
      <x:c r="B38" s="113"/>
      <x:c r="C38" s="113"/>
      <x:c r="D38" s="113"/>
      <x:c r="E38" s="113"/>
      <x:c r="F38" s="113"/>
      <x:c r="G38" s="113"/>
      <x:c r="H38" s="113"/>
      <x:c r="I38" s="113"/>
      <x:c r="J38" s="113"/>
      <x:c r="K38" s="113"/>
      <x:c r="L38" s="113"/>
      <x:c r="M38" s="113"/>
      <x:c r="N38" s="113"/>
      <x:c r="O38" s="113"/>
    </x:row>
    <x:row r="39">
      <x:c r="A39" s="113"/>
      <x:c r="B39" s="113"/>
      <x:c r="C39" s="113"/>
      <x:c r="D39" s="113"/>
      <x:c r="E39" s="113"/>
      <x:c r="F39" s="113"/>
      <x:c r="G39" s="113"/>
      <x:c r="H39" s="113"/>
      <x:c r="I39" s="113"/>
      <x:c r="J39" s="113"/>
      <x:c r="K39" s="113"/>
      <x:c r="L39" s="113"/>
      <x:c r="M39" s="113"/>
      <x:c r="N39" s="113"/>
      <x:c r="O39" s="113"/>
    </x:row>
    <x:row r="40">
      <x:c r="A40" s="113"/>
      <x:c r="B40" s="113"/>
      <x:c r="C40" s="113"/>
      <x:c r="D40" s="113"/>
      <x:c r="E40" s="113"/>
      <x:c r="F40" s="113"/>
      <x:c r="G40" s="113"/>
      <x:c r="H40" s="113"/>
      <x:c r="I40" s="113"/>
      <x:c r="J40" s="113"/>
      <x:c r="K40" s="113"/>
      <x:c r="L40" s="113"/>
      <x:c r="M40" s="113"/>
      <x:c r="N40" s="113"/>
      <x:c r="O40" s="113"/>
    </x:row>
    <x:row r="41">
      <x:c r="A41" s="113"/>
      <x:c r="B41" s="113"/>
      <x:c r="C41" s="113"/>
      <x:c r="D41" s="113"/>
      <x:c r="E41" s="113"/>
      <x:c r="F41" s="113"/>
      <x:c r="G41" s="113"/>
      <x:c r="H41" s="113"/>
      <x:c r="I41" s="113"/>
      <x:c r="J41" s="113"/>
      <x:c r="K41" s="113"/>
      <x:c r="L41" s="113"/>
      <x:c r="M41" s="113"/>
      <x:c r="N41" s="113"/>
      <x:c r="O41" s="113"/>
    </x:row>
    <x:row r="42">
      <x:c r="A42" s="113"/>
      <x:c r="B42" s="113"/>
      <x:c r="C42" s="113"/>
      <x:c r="D42" s="113"/>
      <x:c r="E42" s="113"/>
      <x:c r="F42" s="113"/>
      <x:c r="G42" s="113"/>
      <x:c r="H42" s="113"/>
      <x:c r="I42" s="113"/>
      <x:c r="J42" s="113"/>
      <x:c r="K42" s="113"/>
      <x:c r="L42" s="113"/>
      <x:c r="M42" s="113"/>
      <x:c r="N42" s="113"/>
      <x:c r="O42" s="113"/>
    </x:row>
    <x:row r="43">
      <x:c r="A43" s="113"/>
      <x:c r="B43" s="113"/>
      <x:c r="C43" s="113"/>
      <x:c r="D43" s="113"/>
      <x:c r="E43" s="113"/>
      <x:c r="F43" s="113"/>
      <x:c r="G43" s="113"/>
      <x:c r="H43" s="113"/>
      <x:c r="I43" s="113"/>
      <x:c r="J43" s="113"/>
      <x:c r="K43" s="113"/>
      <x:c r="L43" s="113"/>
      <x:c r="M43" s="113"/>
      <x:c r="N43" s="113"/>
      <x:c r="O43" s="113"/>
    </x:row>
    <x:row r="44">
      <x:c r="A44" s="113"/>
      <x:c r="B44" s="113"/>
      <x:c r="C44" s="113"/>
      <x:c r="D44" s="113"/>
      <x:c r="E44" s="113"/>
      <x:c r="F44" s="113"/>
      <x:c r="G44" s="113"/>
      <x:c r="H44" s="113"/>
      <x:c r="I44" s="113"/>
      <x:c r="J44" s="113"/>
      <x:c r="K44" s="113"/>
      <x:c r="L44" s="113"/>
      <x:c r="M44" s="113"/>
      <x:c r="N44" s="113"/>
      <x:c r="O44" s="113"/>
    </x:row>
    <x:row r="45">
      <x:c r="A45" s="113"/>
      <x:c r="B45" s="113"/>
      <x:c r="C45" s="113"/>
      <x:c r="D45" s="113"/>
      <x:c r="E45" s="113"/>
      <x:c r="F45" s="113"/>
      <x:c r="G45" s="113"/>
      <x:c r="H45" s="113"/>
      <x:c r="I45" s="113"/>
      <x:c r="J45" s="113"/>
      <x:c r="K45" s="113"/>
      <x:c r="L45" s="113"/>
      <x:c r="M45" s="113"/>
      <x:c r="N45" s="113"/>
      <x:c r="O45" s="113"/>
    </x:row>
    <x:row r="46">
      <x:c r="A46" s="113"/>
      <x:c r="B46" s="113"/>
      <x:c r="C46" s="113"/>
      <x:c r="D46" s="113"/>
      <x:c r="E46" s="113"/>
      <x:c r="F46" s="113"/>
      <x:c r="G46" s="113"/>
      <x:c r="H46" s="113"/>
      <x:c r="I46" s="113"/>
      <x:c r="J46" s="113"/>
      <x:c r="K46" s="113"/>
      <x:c r="L46" s="113"/>
      <x:c r="M46" s="113"/>
      <x:c r="N46" s="113"/>
      <x:c r="O46" s="113"/>
    </x:row>
    <x:row r="47">
      <x:c r="A47" s="113"/>
      <x:c r="B47" s="113"/>
      <x:c r="C47" s="113"/>
      <x:c r="D47" s="113"/>
      <x:c r="E47" s="113"/>
      <x:c r="F47" s="113"/>
      <x:c r="G47" s="113"/>
      <x:c r="H47" s="113"/>
      <x:c r="I47" s="113"/>
      <x:c r="J47" s="113"/>
      <x:c r="K47" s="113"/>
      <x:c r="L47" s="113"/>
      <x:c r="M47" s="113"/>
      <x:c r="N47" s="113"/>
      <x:c r="O47" s="113"/>
    </x:row>
    <x:row r="48">
      <x:c r="A48" s="113"/>
      <x:c r="B48" s="113"/>
      <x:c r="C48" s="113"/>
      <x:c r="D48" s="113"/>
      <x:c r="E48" s="113"/>
      <x:c r="F48" s="113"/>
      <x:c r="G48" s="113"/>
      <x:c r="H48" s="113"/>
      <x:c r="I48" s="113"/>
      <x:c r="J48" s="113"/>
      <x:c r="K48" s="113"/>
      <x:c r="L48" s="113"/>
      <x:c r="M48" s="113"/>
      <x:c r="N48" s="113"/>
      <x:c r="O48" s="113"/>
    </x:row>
    <x:row r="49">
      <x:c r="A49" s="113"/>
      <x:c r="B49" s="113"/>
      <x:c r="C49" s="113"/>
      <x:c r="D49" s="113"/>
      <x:c r="E49" s="113"/>
      <x:c r="F49" s="113"/>
      <x:c r="G49" s="113"/>
      <x:c r="H49" s="113"/>
      <x:c r="I49" s="113"/>
      <x:c r="J49" s="113"/>
      <x:c r="K49" s="113"/>
      <x:c r="L49" s="113"/>
      <x:c r="M49" s="113"/>
      <x:c r="N49" s="113"/>
      <x:c r="O49" s="113"/>
    </x:row>
    <x:row r="50">
      <x:c r="A50" s="113"/>
      <x:c r="B50" s="113"/>
      <x:c r="C50" s="113"/>
      <x:c r="D50" s="113"/>
      <x:c r="E50" s="113"/>
      <x:c r="F50" s="113"/>
      <x:c r="G50" s="113"/>
      <x:c r="H50" s="113"/>
      <x:c r="I50" s="113"/>
      <x:c r="J50" s="113"/>
      <x:c r="K50" s="113"/>
      <x:c r="L50" s="113"/>
      <x:c r="M50" s="113"/>
      <x:c r="N50" s="113"/>
      <x:c r="O50" s="113"/>
    </x:row>
    <x:row r="51">
      <x:c r="A51" s="113"/>
      <x:c r="B51" s="113"/>
      <x:c r="C51" s="113"/>
      <x:c r="D51" s="113"/>
      <x:c r="E51" s="113"/>
      <x:c r="F51" s="113"/>
      <x:c r="G51" s="113"/>
      <x:c r="H51" s="113"/>
      <x:c r="I51" s="113"/>
      <x:c r="J51" s="113"/>
      <x:c r="K51" s="113"/>
      <x:c r="L51" s="113"/>
      <x:c r="M51" s="113"/>
      <x:c r="N51" s="113"/>
      <x:c r="O51" s="113"/>
    </x:row>
    <x:row r="52">
      <x:c r="A52" s="113"/>
      <x:c r="B52" s="113"/>
      <x:c r="C52" s="113"/>
      <x:c r="D52" s="113"/>
      <x:c r="E52" s="113"/>
      <x:c r="F52" s="113"/>
      <x:c r="G52" s="113"/>
      <x:c r="H52" s="113"/>
      <x:c r="I52" s="113"/>
      <x:c r="J52" s="113"/>
      <x:c r="K52" s="113"/>
      <x:c r="L52" s="113"/>
      <x:c r="M52" s="113"/>
      <x:c r="N52" s="113"/>
      <x:c r="O52" s="113"/>
    </x:row>
    <x:row r="53">
      <x:c r="A53" s="113"/>
      <x:c r="B53" s="113"/>
      <x:c r="C53" s="113"/>
      <x:c r="D53" s="113"/>
      <x:c r="E53" s="113"/>
      <x:c r="F53" s="113"/>
      <x:c r="G53" s="113"/>
      <x:c r="H53" s="113"/>
      <x:c r="I53" s="113"/>
      <x:c r="J53" s="113"/>
      <x:c r="K53" s="113"/>
      <x:c r="L53" s="113"/>
      <x:c r="M53" s="113"/>
      <x:c r="N53" s="113"/>
      <x:c r="O53" s="113"/>
    </x:row>
    <x:row r="54">
      <x:c r="A54" s="113"/>
      <x:c r="B54" s="113"/>
      <x:c r="C54" s="113"/>
      <x:c r="D54" s="113"/>
      <x:c r="E54" s="113"/>
      <x:c r="F54" s="113"/>
      <x:c r="G54" s="113"/>
      <x:c r="H54" s="113"/>
      <x:c r="I54" s="113"/>
      <x:c r="J54" s="113"/>
      <x:c r="K54" s="113"/>
      <x:c r="L54" s="113"/>
      <x:c r="M54" s="113"/>
      <x:c r="N54" s="113"/>
      <x:c r="O54" s="113"/>
    </x:row>
    <x:row r="55">
      <x:c r="A55" s="113"/>
      <x:c r="B55" s="113"/>
      <x:c r="C55" s="113"/>
      <x:c r="D55" s="113"/>
      <x:c r="E55" s="113"/>
      <x:c r="F55" s="113"/>
      <x:c r="G55" s="113"/>
      <x:c r="H55" s="113"/>
      <x:c r="I55" s="113"/>
      <x:c r="J55" s="113"/>
      <x:c r="K55" s="113"/>
      <x:c r="L55" s="113"/>
      <x:c r="M55" s="113"/>
      <x:c r="N55" s="113"/>
      <x:c r="O55" s="113"/>
    </x:row>
    <x:row r="56">
      <x:c r="A56" s="113"/>
      <x:c r="B56" s="113"/>
      <x:c r="C56" s="113"/>
      <x:c r="D56" s="113"/>
      <x:c r="E56" s="113"/>
      <x:c r="F56" s="113"/>
      <x:c r="G56" s="113"/>
      <x:c r="H56" s="113"/>
      <x:c r="I56" s="113"/>
      <x:c r="J56" s="113"/>
      <x:c r="K56" s="113"/>
      <x:c r="L56" s="113"/>
      <x:c r="M56" s="113"/>
      <x:c r="N56" s="113"/>
      <x:c r="O56" s="113"/>
    </x:row>
    <x:row r="57">
      <x:c r="A57" s="113"/>
      <x:c r="B57" s="113"/>
      <x:c r="C57" s="113"/>
      <x:c r="D57" s="113"/>
      <x:c r="E57" s="113"/>
      <x:c r="F57" s="113"/>
      <x:c r="G57" s="113"/>
      <x:c r="H57" s="113"/>
      <x:c r="I57" s="113"/>
      <x:c r="J57" s="113"/>
      <x:c r="K57" s="113"/>
      <x:c r="L57" s="113"/>
      <x:c r="M57" s="113"/>
      <x:c r="N57" s="113"/>
      <x:c r="O57" s="113"/>
    </x:row>
    <x:row r="58">
      <x:c r="A58" s="113"/>
      <x:c r="B58" s="113"/>
      <x:c r="C58" s="113"/>
      <x:c r="D58" s="113"/>
      <x:c r="E58" s="113"/>
      <x:c r="F58" s="113"/>
      <x:c r="G58" s="113"/>
      <x:c r="H58" s="113"/>
      <x:c r="I58" s="113"/>
      <x:c r="J58" s="113"/>
      <x:c r="K58" s="113"/>
      <x:c r="L58" s="113"/>
      <x:c r="M58" s="113"/>
      <x:c r="N58" s="113"/>
      <x:c r="O58" s="113"/>
    </x:row>
    <x:row r="59">
      <x:c r="A59" s="113"/>
      <x:c r="B59" s="113"/>
      <x:c r="C59" s="113"/>
      <x:c r="D59" s="113"/>
      <x:c r="E59" s="113"/>
      <x:c r="F59" s="113"/>
      <x:c r="G59" s="113"/>
      <x:c r="H59" s="113"/>
      <x:c r="I59" s="113"/>
      <x:c r="J59" s="113"/>
      <x:c r="K59" s="113"/>
      <x:c r="L59" s="113"/>
      <x:c r="M59" s="113"/>
      <x:c r="N59" s="113"/>
      <x:c r="O59" s="113"/>
    </x:row>
    <x:row r="60">
      <x:c r="A60" s="113"/>
      <x:c r="B60" s="113"/>
      <x:c r="C60" s="113"/>
      <x:c r="D60" s="113"/>
      <x:c r="E60" s="113"/>
      <x:c r="F60" s="113"/>
      <x:c r="G60" s="113"/>
      <x:c r="H60" s="113"/>
      <x:c r="I60" s="113"/>
      <x:c r="J60" s="113"/>
      <x:c r="K60" s="113"/>
      <x:c r="L60" s="113"/>
      <x:c r="M60" s="113"/>
      <x:c r="N60" s="113"/>
      <x:c r="O60" s="113"/>
    </x:row>
    <x:row r="61">
      <x:c r="A61" s="113"/>
      <x:c r="B61" s="113"/>
      <x:c r="C61" s="113"/>
      <x:c r="D61" s="113"/>
      <x:c r="E61" s="113"/>
      <x:c r="F61" s="113"/>
      <x:c r="G61" s="113"/>
      <x:c r="H61" s="113"/>
      <x:c r="I61" s="113"/>
      <x:c r="J61" s="113"/>
      <x:c r="K61" s="113"/>
      <x:c r="L61" s="113"/>
      <x:c r="M61" s="113"/>
      <x:c r="N61" s="113"/>
      <x:c r="O61" s="113"/>
    </x:row>
    <x:row r="62">
      <x:c r="A62" s="113"/>
      <x:c r="B62" s="113"/>
      <x:c r="C62" s="113"/>
      <x:c r="D62" s="113"/>
      <x:c r="E62" s="113"/>
      <x:c r="F62" s="113"/>
      <x:c r="G62" s="113"/>
      <x:c r="H62" s="113"/>
      <x:c r="I62" s="113"/>
      <x:c r="J62" s="113"/>
      <x:c r="K62" s="113"/>
      <x:c r="L62" s="113"/>
      <x:c r="M62" s="113"/>
      <x:c r="N62" s="113"/>
      <x:c r="O62" s="113"/>
    </x:row>
    <x:row r="63">
      <x:c r="A63" s="113"/>
      <x:c r="B63" s="113"/>
      <x:c r="C63" s="113"/>
      <x:c r="D63" s="113"/>
      <x:c r="E63" s="113"/>
      <x:c r="F63" s="113"/>
      <x:c r="G63" s="113"/>
      <x:c r="H63" s="113"/>
      <x:c r="I63" s="113"/>
      <x:c r="J63" s="113"/>
      <x:c r="K63" s="113"/>
      <x:c r="L63" s="113"/>
      <x:c r="M63" s="113"/>
      <x:c r="N63" s="113"/>
      <x:c r="O63" s="113"/>
    </x:row>
    <x:row r="64">
      <x:c r="A64" s="113"/>
      <x:c r="B64" s="113"/>
      <x:c r="C64" s="113"/>
      <x:c r="D64" s="113"/>
      <x:c r="E64" s="113"/>
      <x:c r="F64" s="113"/>
      <x:c r="G64" s="113"/>
      <x:c r="H64" s="113"/>
      <x:c r="I64" s="113"/>
      <x:c r="J64" s="113"/>
      <x:c r="K64" s="113"/>
      <x:c r="L64" s="113"/>
      <x:c r="M64" s="113"/>
      <x:c r="N64" s="113"/>
      <x:c r="O64" s="113"/>
    </x:row>
    <x:row r="65">
      <x:c r="A65" s="113"/>
      <x:c r="B65" s="113"/>
      <x:c r="C65" s="113"/>
      <x:c r="D65" s="113"/>
      <x:c r="E65" s="113"/>
      <x:c r="F65" s="113"/>
      <x:c r="G65" s="113"/>
      <x:c r="H65" s="113"/>
      <x:c r="I65" s="113"/>
      <x:c r="J65" s="113"/>
      <x:c r="K65" s="113"/>
      <x:c r="L65" s="113"/>
      <x:c r="M65" s="113"/>
      <x:c r="N65" s="113"/>
      <x:c r="O65" s="113"/>
    </x:row>
    <x:row r="66">
      <x:c r="A66" s="113"/>
      <x:c r="B66" s="113"/>
      <x:c r="C66" s="113"/>
      <x:c r="D66" s="113"/>
      <x:c r="E66" s="113"/>
      <x:c r="F66" s="113"/>
      <x:c r="G66" s="113"/>
      <x:c r="H66" s="113"/>
      <x:c r="I66" s="113"/>
      <x:c r="J66" s="113"/>
      <x:c r="K66" s="113"/>
      <x:c r="L66" s="113"/>
      <x:c r="M66" s="113"/>
      <x:c r="N66" s="113"/>
      <x:c r="O66" s="113"/>
    </x:row>
    <x:row r="67">
      <x:c r="A67" s="113"/>
      <x:c r="B67" s="113"/>
      <x:c r="C67" s="113"/>
      <x:c r="D67" s="113"/>
      <x:c r="E67" s="113"/>
      <x:c r="F67" s="113"/>
      <x:c r="G67" s="113"/>
      <x:c r="H67" s="113"/>
      <x:c r="I67" s="113"/>
      <x:c r="J67" s="113"/>
      <x:c r="K67" s="113"/>
      <x:c r="L67" s="113"/>
      <x:c r="M67" s="113"/>
      <x:c r="N67" s="113"/>
      <x:c r="O67" s="113"/>
    </x:row>
    <x:row r="68">
      <x:c r="A68" s="113"/>
      <x:c r="B68" s="113"/>
      <x:c r="C68" s="113"/>
      <x:c r="D68" s="113"/>
      <x:c r="E68" s="113"/>
      <x:c r="F68" s="113"/>
      <x:c r="G68" s="113"/>
      <x:c r="H68" s="113"/>
      <x:c r="I68" s="113"/>
      <x:c r="J68" s="113"/>
      <x:c r="K68" s="113"/>
      <x:c r="L68" s="113"/>
      <x:c r="M68" s="113"/>
      <x:c r="N68" s="113"/>
      <x:c r="O68" s="113"/>
    </x:row>
    <x:row r="69">
      <x:c r="A69" s="113"/>
      <x:c r="B69" s="113"/>
      <x:c r="C69" s="113"/>
      <x:c r="D69" s="113"/>
      <x:c r="E69" s="113"/>
      <x:c r="F69" s="113"/>
      <x:c r="G69" s="113"/>
      <x:c r="H69" s="113"/>
      <x:c r="I69" s="113"/>
      <x:c r="J69" s="113"/>
      <x:c r="K69" s="113"/>
      <x:c r="L69" s="113"/>
      <x:c r="M69" s="113"/>
      <x:c r="N69" s="113"/>
      <x:c r="O69" s="113"/>
    </x:row>
    <x:row r="70">
      <x:c r="A70" s="113"/>
      <x:c r="B70" s="113"/>
      <x:c r="C70" s="113"/>
      <x:c r="D70" s="113"/>
      <x:c r="E70" s="113"/>
      <x:c r="F70" s="113"/>
      <x:c r="G70" s="113"/>
      <x:c r="H70" s="113"/>
      <x:c r="I70" s="113"/>
      <x:c r="J70" s="113"/>
      <x:c r="K70" s="113"/>
      <x:c r="L70" s="113"/>
      <x:c r="M70" s="113"/>
      <x:c r="N70" s="113"/>
      <x:c r="O70" s="113"/>
    </x:row>
    <x:row r="71">
      <x:c r="A71" s="113"/>
      <x:c r="B71" s="113"/>
      <x:c r="C71" s="113"/>
      <x:c r="D71" s="113"/>
      <x:c r="E71" s="113"/>
      <x:c r="F71" s="113"/>
      <x:c r="G71" s="113"/>
      <x:c r="H71" s="113"/>
      <x:c r="I71" s="113"/>
      <x:c r="J71" s="113"/>
      <x:c r="K71" s="113"/>
      <x:c r="L71" s="113"/>
      <x:c r="M71" s="113"/>
      <x:c r="N71" s="113"/>
      <x:c r="O71" s="113"/>
    </x:row>
    <x:row r="72">
      <x:c r="A72" s="113"/>
      <x:c r="B72" s="113"/>
      <x:c r="C72" s="113"/>
      <x:c r="D72" s="113"/>
      <x:c r="E72" s="113"/>
      <x:c r="F72" s="113"/>
      <x:c r="G72" s="113"/>
      <x:c r="H72" s="113"/>
      <x:c r="I72" s="113"/>
      <x:c r="J72" s="113"/>
      <x:c r="K72" s="113"/>
      <x:c r="L72" s="113"/>
      <x:c r="M72" s="113"/>
      <x:c r="N72" s="113"/>
      <x:c r="O72" s="113"/>
    </x:row>
    <x:row r="73">
      <x:c r="A73" s="113"/>
      <x:c r="B73" s="113"/>
      <x:c r="C73" s="113"/>
      <x:c r="D73" s="113"/>
      <x:c r="E73" s="113"/>
      <x:c r="F73" s="113"/>
      <x:c r="G73" s="113"/>
      <x:c r="H73" s="113"/>
      <x:c r="I73" s="113"/>
      <x:c r="J73" s="113"/>
      <x:c r="K73" s="113"/>
      <x:c r="L73" s="113"/>
      <x:c r="M73" s="113"/>
      <x:c r="N73" s="113"/>
      <x:c r="O73" s="113"/>
    </x:row>
    <x:row r="74">
      <x:c r="A74" s="113"/>
      <x:c r="B74" s="113"/>
      <x:c r="C74" s="113"/>
      <x:c r="D74" s="113"/>
      <x:c r="E74" s="113"/>
      <x:c r="F74" s="113"/>
      <x:c r="G74" s="113"/>
      <x:c r="H74" s="113"/>
      <x:c r="I74" s="113"/>
      <x:c r="J74" s="113"/>
      <x:c r="K74" s="113"/>
      <x:c r="L74" s="113"/>
      <x:c r="M74" s="113"/>
      <x:c r="N74" s="113"/>
      <x:c r="O74" s="113"/>
    </x:row>
    <x:row r="75">
      <x:c r="A75" s="113"/>
      <x:c r="B75" s="113"/>
      <x:c r="C75" s="113"/>
      <x:c r="D75" s="113"/>
      <x:c r="E75" s="113"/>
      <x:c r="F75" s="113"/>
      <x:c r="G75" s="113"/>
      <x:c r="H75" s="113"/>
      <x:c r="I75" s="113"/>
      <x:c r="J75" s="113"/>
      <x:c r="K75" s="113"/>
      <x:c r="L75" s="113"/>
      <x:c r="M75" s="113"/>
      <x:c r="N75" s="113"/>
      <x:c r="O75" s="113"/>
    </x:row>
    <x:row r="76">
      <x:c r="A76" s="113"/>
      <x:c r="B76" s="113"/>
      <x:c r="C76" s="113"/>
      <x:c r="D76" s="113"/>
      <x:c r="E76" s="113"/>
      <x:c r="F76" s="113"/>
      <x:c r="G76" s="113"/>
      <x:c r="H76" s="113"/>
      <x:c r="I76" s="113"/>
      <x:c r="J76" s="113"/>
      <x:c r="K76" s="113"/>
      <x:c r="L76" s="113"/>
      <x:c r="M76" s="113"/>
      <x:c r="N76" s="113"/>
      <x:c r="O76" s="113"/>
    </x:row>
    <x:row r="77">
      <x:c r="A77" s="113"/>
      <x:c r="B77" s="113"/>
      <x:c r="C77" s="113"/>
      <x:c r="D77" s="113"/>
      <x:c r="E77" s="113"/>
      <x:c r="F77" s="113"/>
      <x:c r="G77" s="113"/>
      <x:c r="H77" s="113"/>
      <x:c r="I77" s="113"/>
      <x:c r="J77" s="113"/>
      <x:c r="K77" s="113"/>
      <x:c r="L77" s="113"/>
      <x:c r="M77" s="113"/>
      <x:c r="N77" s="113"/>
      <x:c r="O77" s="113"/>
    </x:row>
    <x:row r="78">
      <x:c r="A78" s="113"/>
      <x:c r="B78" s="113"/>
      <x:c r="C78" s="113"/>
      <x:c r="D78" s="113"/>
      <x:c r="E78" s="113"/>
      <x:c r="F78" s="113"/>
      <x:c r="G78" s="113"/>
      <x:c r="H78" s="113"/>
      <x:c r="I78" s="113"/>
      <x:c r="J78" s="113"/>
      <x:c r="K78" s="113"/>
      <x:c r="L78" s="113"/>
      <x:c r="M78" s="113"/>
      <x:c r="N78" s="113"/>
      <x:c r="O78" s="113"/>
    </x:row>
    <x:row r="79">
      <x:c r="A79" s="113"/>
      <x:c r="B79" s="113"/>
      <x:c r="C79" s="113"/>
      <x:c r="D79" s="113"/>
      <x:c r="E79" s="113"/>
      <x:c r="F79" s="113"/>
      <x:c r="G79" s="113"/>
      <x:c r="H79" s="113"/>
      <x:c r="I79" s="113"/>
      <x:c r="J79" s="113"/>
      <x:c r="K79" s="113"/>
      <x:c r="L79" s="113"/>
      <x:c r="M79" s="113"/>
      <x:c r="N79" s="113"/>
      <x:c r="O79" s="113"/>
    </x:row>
    <x:row r="80">
      <x:c r="A80" s="113"/>
      <x:c r="B80" s="113"/>
      <x:c r="C80" s="113"/>
      <x:c r="D80" s="113"/>
      <x:c r="E80" s="113"/>
      <x:c r="F80" s="113"/>
      <x:c r="G80" s="113"/>
      <x:c r="H80" s="113"/>
      <x:c r="I80" s="113"/>
      <x:c r="J80" s="113"/>
      <x:c r="K80" s="113"/>
      <x:c r="L80" s="113"/>
      <x:c r="M80" s="113"/>
      <x:c r="N80" s="113"/>
      <x:c r="O80" s="113"/>
    </x:row>
    <x:row r="81">
      <x:c r="A81" s="113"/>
      <x:c r="B81" s="113"/>
      <x:c r="C81" s="113"/>
      <x:c r="D81" s="113"/>
      <x:c r="E81" s="113"/>
      <x:c r="F81" s="113"/>
      <x:c r="G81" s="113"/>
      <x:c r="H81" s="113"/>
      <x:c r="I81" s="113"/>
      <x:c r="J81" s="113"/>
      <x:c r="K81" s="113"/>
      <x:c r="L81" s="113"/>
      <x:c r="M81" s="113"/>
      <x:c r="N81" s="113"/>
      <x:c r="O81" s="113"/>
    </x:row>
    <x:row r="82">
      <x:c r="A82" s="113"/>
      <x:c r="B82" s="113"/>
      <x:c r="C82" s="113"/>
      <x:c r="D82" s="113"/>
      <x:c r="E82" s="113"/>
      <x:c r="F82" s="113"/>
      <x:c r="G82" s="113"/>
      <x:c r="H82" s="113"/>
      <x:c r="I82" s="113"/>
      <x:c r="J82" s="113"/>
      <x:c r="K82" s="113"/>
      <x:c r="L82" s="113"/>
      <x:c r="M82" s="113"/>
      <x:c r="N82" s="113"/>
      <x:c r="O82" s="113"/>
    </x:row>
    <x:row r="83">
      <x:c r="A83" s="113"/>
      <x:c r="B83" s="113"/>
      <x:c r="C83" s="113"/>
      <x:c r="D83" s="113"/>
      <x:c r="E83" s="113"/>
      <x:c r="F83" s="113"/>
      <x:c r="G83" s="113"/>
      <x:c r="H83" s="113"/>
      <x:c r="I83" s="113"/>
      <x:c r="J83" s="113"/>
      <x:c r="K83" s="113"/>
      <x:c r="L83" s="113"/>
      <x:c r="M83" s="113"/>
      <x:c r="N83" s="113"/>
      <x:c r="O83" s="113"/>
    </x:row>
    <x:row r="84">
      <x:c r="A84" s="113"/>
      <x:c r="B84" s="113"/>
      <x:c r="C84" s="113"/>
      <x:c r="D84" s="113"/>
      <x:c r="E84" s="113"/>
      <x:c r="F84" s="113"/>
      <x:c r="G84" s="113"/>
      <x:c r="H84" s="113"/>
      <x:c r="I84" s="113"/>
      <x:c r="J84" s="113"/>
      <x:c r="K84" s="113"/>
      <x:c r="L84" s="113"/>
      <x:c r="M84" s="113"/>
      <x:c r="N84" s="113"/>
      <x:c r="O84" s="113"/>
    </x:row>
    <x:row r="85">
      <x:c r="A85" s="113"/>
      <x:c r="B85" s="113"/>
      <x:c r="C85" s="113"/>
      <x:c r="D85" s="113"/>
      <x:c r="E85" s="113"/>
      <x:c r="F85" s="113"/>
      <x:c r="G85" s="113"/>
      <x:c r="H85" s="113"/>
      <x:c r="I85" s="113"/>
      <x:c r="J85" s="113"/>
      <x:c r="K85" s="113"/>
      <x:c r="L85" s="113"/>
      <x:c r="M85" s="113"/>
      <x:c r="N85" s="113"/>
      <x:c r="O85" s="113"/>
    </x:row>
    <x:row r="86">
      <x:c r="A86" s="113"/>
      <x:c r="B86" s="113"/>
      <x:c r="C86" s="113"/>
      <x:c r="D86" s="113"/>
      <x:c r="E86" s="113"/>
      <x:c r="F86" s="113"/>
      <x:c r="G86" s="113"/>
      <x:c r="H86" s="113"/>
      <x:c r="I86" s="113"/>
      <x:c r="J86" s="113"/>
      <x:c r="K86" s="113"/>
      <x:c r="L86" s="113"/>
      <x:c r="M86" s="113"/>
      <x:c r="N86" s="113"/>
      <x:c r="O86" s="113"/>
    </x:row>
    <x:row r="87">
      <x:c r="A87" s="113"/>
      <x:c r="B87" s="113"/>
      <x:c r="C87" s="113"/>
      <x:c r="D87" s="113"/>
      <x:c r="E87" s="113"/>
      <x:c r="F87" s="113"/>
      <x:c r="G87" s="113"/>
      <x:c r="H87" s="113"/>
      <x:c r="I87" s="113"/>
      <x:c r="J87" s="113"/>
      <x:c r="K87" s="113"/>
      <x:c r="L87" s="113"/>
      <x:c r="M87" s="113"/>
      <x:c r="N87" s="113"/>
      <x:c r="O87" s="113"/>
    </x:row>
    <x:row r="88">
      <x:c r="A88" s="113"/>
      <x:c r="B88" s="113"/>
      <x:c r="C88" s="113"/>
      <x:c r="D88" s="113"/>
      <x:c r="E88" s="113"/>
      <x:c r="F88" s="113"/>
      <x:c r="G88" s="113"/>
      <x:c r="H88" s="113"/>
      <x:c r="I88" s="113"/>
      <x:c r="J88" s="113"/>
      <x:c r="K88" s="113"/>
      <x:c r="L88" s="113"/>
      <x:c r="M88" s="113"/>
      <x:c r="N88" s="113"/>
      <x:c r="O88" s="113"/>
    </x:row>
    <x:row r="89">
      <x:c r="A89" s="113"/>
      <x:c r="B89" s="113"/>
      <x:c r="C89" s="113"/>
      <x:c r="D89" s="113"/>
      <x:c r="E89" s="113"/>
      <x:c r="F89" s="113"/>
      <x:c r="G89" s="113"/>
      <x:c r="H89" s="113"/>
      <x:c r="I89" s="113"/>
      <x:c r="J89" s="113"/>
      <x:c r="K89" s="113"/>
      <x:c r="L89" s="113"/>
      <x:c r="M89" s="113"/>
      <x:c r="N89" s="113"/>
      <x:c r="O89" s="113"/>
    </x:row>
    <x:row r="90">
      <x:c r="A90" s="113"/>
      <x:c r="B90" s="113"/>
      <x:c r="C90" s="113"/>
      <x:c r="D90" s="113"/>
      <x:c r="E90" s="113"/>
      <x:c r="F90" s="113"/>
      <x:c r="G90" s="113"/>
      <x:c r="H90" s="113"/>
      <x:c r="I90" s="113"/>
      <x:c r="J90" s="113"/>
      <x:c r="K90" s="113"/>
      <x:c r="L90" s="113"/>
      <x:c r="M90" s="113"/>
      <x:c r="N90" s="113"/>
      <x:c r="O90" s="113"/>
    </x:row>
    <x:row r="91">
      <x:c r="A91" s="113"/>
      <x:c r="B91" s="113"/>
      <x:c r="C91" s="113"/>
      <x:c r="D91" s="113"/>
      <x:c r="E91" s="113"/>
      <x:c r="F91" s="113"/>
      <x:c r="G91" s="113"/>
      <x:c r="H91" s="113"/>
      <x:c r="I91" s="113"/>
      <x:c r="J91" s="113"/>
      <x:c r="K91" s="113"/>
      <x:c r="L91" s="113"/>
      <x:c r="M91" s="113"/>
      <x:c r="N91" s="113"/>
      <x:c r="O91" s="113"/>
    </x:row>
    <x:row r="92">
      <x:c r="A92" s="113"/>
      <x:c r="B92" s="113"/>
      <x:c r="C92" s="113"/>
      <x:c r="D92" s="113"/>
      <x:c r="E92" s="113"/>
      <x:c r="F92" s="113"/>
      <x:c r="G92" s="113"/>
      <x:c r="H92" s="113"/>
      <x:c r="I92" s="113"/>
      <x:c r="J92" s="113"/>
      <x:c r="K92" s="113"/>
      <x:c r="L92" s="113"/>
      <x:c r="M92" s="113"/>
      <x:c r="N92" s="113"/>
      <x:c r="O92" s="113"/>
    </x:row>
    <x:row r="93">
      <x:c r="A93" s="113"/>
      <x:c r="B93" s="113"/>
      <x:c r="C93" s="113"/>
      <x:c r="D93" s="113"/>
      <x:c r="E93" s="113"/>
      <x:c r="F93" s="113"/>
      <x:c r="G93" s="113"/>
      <x:c r="H93" s="113"/>
      <x:c r="I93" s="113"/>
      <x:c r="J93" s="113"/>
      <x:c r="K93" s="113"/>
      <x:c r="L93" s="113"/>
      <x:c r="M93" s="113"/>
      <x:c r="N93" s="113"/>
      <x:c r="O93" s="113"/>
    </x:row>
    <x:row r="94">
      <x:c r="A94" s="113"/>
      <x:c r="B94" s="113"/>
      <x:c r="C94" s="113"/>
      <x:c r="D94" s="113"/>
      <x:c r="E94" s="113"/>
      <x:c r="F94" s="113"/>
      <x:c r="G94" s="113"/>
      <x:c r="H94" s="113"/>
      <x:c r="I94" s="113"/>
      <x:c r="J94" s="113"/>
      <x:c r="K94" s="113"/>
      <x:c r="L94" s="113"/>
      <x:c r="M94" s="113"/>
      <x:c r="N94" s="113"/>
      <x:c r="O94" s="113"/>
    </x:row>
    <x:row r="95">
      <x:c r="A95" s="113"/>
      <x:c r="B95" s="113"/>
      <x:c r="C95" s="113"/>
      <x:c r="D95" s="113"/>
      <x:c r="E95" s="113"/>
      <x:c r="F95" s="113"/>
      <x:c r="G95" s="113"/>
      <x:c r="H95" s="113"/>
      <x:c r="I95" s="113"/>
      <x:c r="J95" s="113"/>
      <x:c r="K95" s="113"/>
      <x:c r="L95" s="113"/>
      <x:c r="M95" s="113"/>
      <x:c r="N95" s="113"/>
      <x:c r="O95" s="113"/>
    </x:row>
    <x:row r="96">
      <x:c r="A96" s="113"/>
      <x:c r="B96" s="113"/>
      <x:c r="C96" s="113"/>
      <x:c r="D96" s="113"/>
      <x:c r="E96" s="113"/>
      <x:c r="F96" s="113"/>
      <x:c r="G96" s="113"/>
      <x:c r="H96" s="113"/>
      <x:c r="I96" s="113"/>
      <x:c r="J96" s="113"/>
      <x:c r="K96" s="113"/>
      <x:c r="L96" s="113"/>
      <x:c r="M96" s="113"/>
      <x:c r="N96" s="113"/>
      <x:c r="O96" s="113"/>
    </x:row>
    <x:row r="97">
      <x:c r="A97" s="113"/>
      <x:c r="B97" s="113"/>
      <x:c r="C97" s="113"/>
      <x:c r="D97" s="113"/>
      <x:c r="E97" s="113"/>
      <x:c r="F97" s="113"/>
      <x:c r="G97" s="113"/>
      <x:c r="H97" s="113"/>
      <x:c r="I97" s="113"/>
      <x:c r="J97" s="113"/>
      <x:c r="K97" s="113"/>
      <x:c r="L97" s="113"/>
      <x:c r="M97" s="113"/>
      <x:c r="N97" s="113"/>
      <x:c r="O97" s="113"/>
    </x:row>
    <x:row r="98">
      <x:c r="A98" s="113"/>
      <x:c r="B98" s="113"/>
      <x:c r="C98" s="113"/>
      <x:c r="D98" s="113"/>
      <x:c r="E98" s="113"/>
      <x:c r="F98" s="113"/>
      <x:c r="G98" s="113"/>
      <x:c r="H98" s="113"/>
      <x:c r="I98" s="113"/>
      <x:c r="J98" s="113"/>
      <x:c r="K98" s="113"/>
      <x:c r="L98" s="113"/>
      <x:c r="M98" s="113"/>
      <x:c r="N98" s="113"/>
      <x:c r="O98" s="113"/>
    </x:row>
    <x:row r="99">
      <x:c r="A99" s="113"/>
      <x:c r="B99" s="113"/>
      <x:c r="C99" s="113"/>
      <x:c r="D99" s="113"/>
      <x:c r="E99" s="113"/>
      <x:c r="F99" s="113"/>
      <x:c r="G99" s="113"/>
      <x:c r="H99" s="113"/>
      <x:c r="I99" s="113"/>
      <x:c r="J99" s="113"/>
      <x:c r="K99" s="113"/>
      <x:c r="L99" s="113"/>
      <x:c r="M99" s="113"/>
      <x:c r="N99" s="113"/>
      <x:c r="O99" s="113"/>
    </x:row>
    <x:row r="100">
      <x:c r="A100" s="113"/>
      <x:c r="B100" s="113"/>
      <x:c r="C100" s="113"/>
      <x:c r="D100" s="113"/>
      <x:c r="E100" s="113"/>
      <x:c r="F100" s="113"/>
      <x:c r="G100" s="113"/>
      <x:c r="H100" s="113"/>
      <x:c r="I100" s="113"/>
      <x:c r="J100" s="113"/>
      <x:c r="K100" s="113"/>
      <x:c r="L100" s="113"/>
      <x:c r="M100" s="113"/>
      <x:c r="N100" s="113"/>
      <x:c r="O100" s="113"/>
    </x:row>
    <x:row r="101">
      <x:c r="A101" s="113"/>
      <x:c r="B101" s="113"/>
      <x:c r="C101" s="113"/>
      <x:c r="D101" s="113"/>
      <x:c r="E101" s="113"/>
      <x:c r="F101" s="113"/>
      <x:c r="G101" s="113"/>
      <x:c r="H101" s="113"/>
      <x:c r="I101" s="113"/>
      <x:c r="J101" s="113"/>
      <x:c r="K101" s="113"/>
      <x:c r="L101" s="113"/>
      <x:c r="M101" s="113"/>
      <x:c r="N101" s="113"/>
      <x:c r="O101" s="113"/>
    </x:row>
    <x:row r="102">
      <x:c r="A102" s="113"/>
      <x:c r="B102" s="113"/>
      <x:c r="C102" s="113"/>
      <x:c r="D102" s="113"/>
      <x:c r="E102" s="113"/>
      <x:c r="F102" s="113"/>
      <x:c r="G102" s="113"/>
      <x:c r="H102" s="113"/>
      <x:c r="I102" s="113"/>
      <x:c r="J102" s="113"/>
      <x:c r="K102" s="113"/>
      <x:c r="L102" s="113"/>
      <x:c r="M102" s="113"/>
      <x:c r="N102" s="113"/>
      <x:c r="O102" s="113"/>
    </x:row>
    <x:row r="103">
      <x:c r="A103" s="113"/>
      <x:c r="B103" s="113"/>
      <x:c r="C103" s="113"/>
      <x:c r="D103" s="113"/>
      <x:c r="E103" s="113"/>
      <x:c r="F103" s="113"/>
      <x:c r="G103" s="113"/>
      <x:c r="H103" s="113"/>
      <x:c r="I103" s="113"/>
      <x:c r="J103" s="113"/>
      <x:c r="K103" s="113"/>
      <x:c r="L103" s="113"/>
      <x:c r="M103" s="113"/>
      <x:c r="N103" s="113"/>
      <x:c r="O103" s="113"/>
    </x:row>
    <x:row r="104">
      <x:c r="A104" s="113"/>
      <x:c r="B104" s="113"/>
      <x:c r="C104" s="113"/>
      <x:c r="D104" s="113"/>
      <x:c r="E104" s="113"/>
      <x:c r="F104" s="113"/>
      <x:c r="G104" s="113"/>
      <x:c r="H104" s="113"/>
      <x:c r="I104" s="113"/>
      <x:c r="J104" s="113"/>
      <x:c r="K104" s="113"/>
      <x:c r="L104" s="113"/>
      <x:c r="M104" s="113"/>
      <x:c r="N104" s="113"/>
      <x:c r="O104" s="113"/>
    </x:row>
    <x:row r="105">
      <x:c r="A105" s="113"/>
      <x:c r="B105" s="113"/>
      <x:c r="C105" s="113"/>
      <x:c r="D105" s="113"/>
      <x:c r="E105" s="113"/>
      <x:c r="F105" s="113"/>
      <x:c r="G105" s="113"/>
      <x:c r="H105" s="113"/>
      <x:c r="I105" s="113"/>
      <x:c r="J105" s="113"/>
      <x:c r="K105" s="113"/>
      <x:c r="L105" s="113"/>
      <x:c r="M105" s="113"/>
      <x:c r="N105" s="113"/>
      <x:c r="O105" s="113"/>
    </x:row>
    <x:row r="106">
      <x:c r="A106" s="113"/>
      <x:c r="B106" s="113"/>
      <x:c r="C106" s="113"/>
      <x:c r="D106" s="113"/>
      <x:c r="E106" s="113"/>
      <x:c r="F106" s="113"/>
      <x:c r="G106" s="113"/>
      <x:c r="H106" s="113"/>
      <x:c r="I106" s="113"/>
      <x:c r="J106" s="113"/>
      <x:c r="K106" s="113"/>
      <x:c r="L106" s="113"/>
      <x:c r="M106" s="113"/>
      <x:c r="N106" s="113"/>
      <x:c r="O106" s="113"/>
    </x:row>
    <x:row r="107">
      <x:c r="A107" s="113"/>
      <x:c r="B107" s="113"/>
      <x:c r="C107" s="113"/>
      <x:c r="D107" s="113"/>
      <x:c r="E107" s="113"/>
      <x:c r="F107" s="113"/>
      <x:c r="G107" s="113"/>
      <x:c r="H107" s="113"/>
      <x:c r="I107" s="113"/>
      <x:c r="J107" s="113"/>
      <x:c r="K107" s="113"/>
      <x:c r="L107" s="113"/>
      <x:c r="M107" s="113"/>
      <x:c r="N107" s="113"/>
      <x:c r="O107" s="113"/>
    </x:row>
    <x:row r="108">
      <x:c r="A108" s="113"/>
      <x:c r="B108" s="113"/>
      <x:c r="C108" s="113"/>
      <x:c r="D108" s="113"/>
      <x:c r="E108" s="113"/>
      <x:c r="F108" s="113"/>
      <x:c r="G108" s="113"/>
      <x:c r="H108" s="113"/>
      <x:c r="I108" s="113"/>
      <x:c r="J108" s="113"/>
      <x:c r="K108" s="113"/>
      <x:c r="L108" s="113"/>
      <x:c r="M108" s="113"/>
      <x:c r="N108" s="113"/>
      <x:c r="O108" s="113"/>
    </x:row>
    <x:row r="109">
      <x:c r="A109" s="113"/>
      <x:c r="B109" s="113"/>
      <x:c r="C109" s="113"/>
      <x:c r="D109" s="113"/>
      <x:c r="E109" s="113"/>
      <x:c r="F109" s="113"/>
      <x:c r="G109" s="113"/>
      <x:c r="H109" s="113"/>
      <x:c r="I109" s="113"/>
      <x:c r="J109" s="113"/>
      <x:c r="K109" s="113"/>
      <x:c r="L109" s="113"/>
      <x:c r="M109" s="113"/>
      <x:c r="N109" s="113"/>
      <x:c r="O109" s="113"/>
    </x:row>
    <x:row r="110">
      <x:c r="A110" s="113"/>
      <x:c r="B110" s="113"/>
      <x:c r="C110" s="113"/>
      <x:c r="D110" s="113"/>
      <x:c r="E110" s="113"/>
      <x:c r="F110" s="113"/>
      <x:c r="G110" s="113"/>
      <x:c r="H110" s="113"/>
      <x:c r="I110" s="113"/>
      <x:c r="J110" s="113"/>
      <x:c r="K110" s="113"/>
      <x:c r="L110" s="113"/>
      <x:c r="M110" s="113"/>
      <x:c r="N110" s="113"/>
      <x:c r="O110" s="113"/>
    </x:row>
    <x:row r="111">
      <x:c r="A111" s="113"/>
      <x:c r="B111" s="113"/>
      <x:c r="C111" s="113"/>
      <x:c r="D111" s="113"/>
      <x:c r="E111" s="113"/>
      <x:c r="F111" s="113"/>
      <x:c r="G111" s="113"/>
      <x:c r="H111" s="113"/>
      <x:c r="I111" s="113"/>
      <x:c r="J111" s="113"/>
      <x:c r="K111" s="113"/>
      <x:c r="L111" s="113"/>
      <x:c r="M111" s="113"/>
      <x:c r="N111" s="113"/>
      <x:c r="O111" s="113"/>
    </x:row>
    <x:row r="112">
      <x:c r="A112" s="113"/>
      <x:c r="B112" s="113"/>
      <x:c r="C112" s="113"/>
      <x:c r="D112" s="113"/>
      <x:c r="E112" s="113"/>
      <x:c r="F112" s="113"/>
      <x:c r="G112" s="113"/>
      <x:c r="H112" s="113"/>
      <x:c r="I112" s="113"/>
      <x:c r="J112" s="113"/>
      <x:c r="K112" s="113"/>
      <x:c r="L112" s="113"/>
      <x:c r="M112" s="113"/>
      <x:c r="N112" s="113"/>
      <x:c r="O112" s="113"/>
    </x:row>
    <x:row r="113">
      <x:c r="A113" s="113"/>
      <x:c r="B113" s="113"/>
      <x:c r="C113" s="113"/>
      <x:c r="D113" s="113"/>
      <x:c r="E113" s="113"/>
      <x:c r="F113" s="113"/>
      <x:c r="G113" s="113"/>
      <x:c r="H113" s="113"/>
      <x:c r="I113" s="113"/>
      <x:c r="J113" s="113"/>
      <x:c r="K113" s="113"/>
      <x:c r="L113" s="113"/>
      <x:c r="M113" s="113"/>
      <x:c r="N113" s="113"/>
      <x:c r="O113" s="113"/>
    </x:row>
    <x:row r="114">
      <x:c r="A114" s="113"/>
      <x:c r="B114" s="113"/>
      <x:c r="C114" s="113"/>
      <x:c r="D114" s="113"/>
      <x:c r="E114" s="113"/>
      <x:c r="F114" s="113"/>
      <x:c r="G114" s="113"/>
      <x:c r="H114" s="113"/>
      <x:c r="I114" s="113"/>
      <x:c r="J114" s="113"/>
      <x:c r="K114" s="113"/>
      <x:c r="L114" s="113"/>
      <x:c r="M114" s="113"/>
      <x:c r="N114" s="113"/>
      <x:c r="O114" s="113"/>
    </x:row>
    <x:row r="115">
      <x:c r="A115" s="113"/>
      <x:c r="B115" s="113"/>
      <x:c r="C115" s="113"/>
      <x:c r="D115" s="113"/>
      <x:c r="E115" s="113"/>
      <x:c r="F115" s="113"/>
      <x:c r="G115" s="113"/>
      <x:c r="H115" s="113"/>
      <x:c r="I115" s="113"/>
      <x:c r="J115" s="113"/>
      <x:c r="K115" s="113"/>
      <x:c r="L115" s="113"/>
      <x:c r="M115" s="113"/>
      <x:c r="N115" s="113"/>
      <x:c r="O115" s="113"/>
    </x:row>
    <x:row r="116">
      <x:c r="A116" s="113"/>
      <x:c r="B116" s="113"/>
      <x:c r="C116" s="113"/>
      <x:c r="D116" s="113"/>
      <x:c r="E116" s="113"/>
      <x:c r="F116" s="113"/>
      <x:c r="G116" s="113"/>
      <x:c r="H116" s="113"/>
      <x:c r="I116" s="113"/>
      <x:c r="J116" s="113"/>
      <x:c r="K116" s="113"/>
      <x:c r="L116" s="113"/>
      <x:c r="M116" s="113"/>
      <x:c r="N116" s="113"/>
      <x:c r="O116" s="113"/>
    </x:row>
    <x:row r="117">
      <x:c r="A117" s="113"/>
      <x:c r="B117" s="113"/>
      <x:c r="C117" s="113"/>
      <x:c r="D117" s="113"/>
      <x:c r="E117" s="113"/>
      <x:c r="F117" s="113"/>
      <x:c r="G117" s="113"/>
      <x:c r="H117" s="113"/>
      <x:c r="I117" s="113"/>
      <x:c r="J117" s="113"/>
      <x:c r="K117" s="113"/>
      <x:c r="L117" s="113"/>
      <x:c r="M117" s="113"/>
      <x:c r="N117" s="113"/>
      <x:c r="O117" s="113"/>
    </x:row>
    <x:row r="118">
      <x:c r="A118" s="113"/>
      <x:c r="B118" s="113"/>
      <x:c r="C118" s="113"/>
      <x:c r="D118" s="113"/>
      <x:c r="E118" s="113"/>
      <x:c r="F118" s="113"/>
      <x:c r="G118" s="113"/>
      <x:c r="H118" s="113"/>
      <x:c r="I118" s="113"/>
      <x:c r="J118" s="113"/>
      <x:c r="K118" s="113"/>
      <x:c r="L118" s="113"/>
      <x:c r="M118" s="113"/>
      <x:c r="N118" s="113"/>
      <x:c r="O118" s="113"/>
    </x:row>
    <x:row r="119">
      <x:c r="A119" s="113"/>
      <x:c r="B119" s="113"/>
      <x:c r="C119" s="113"/>
      <x:c r="D119" s="113"/>
      <x:c r="E119" s="113"/>
      <x:c r="F119" s="113"/>
      <x:c r="G119" s="113"/>
      <x:c r="H119" s="113"/>
      <x:c r="I119" s="113"/>
      <x:c r="J119" s="113"/>
      <x:c r="K119" s="113"/>
      <x:c r="L119" s="113"/>
      <x:c r="M119" s="113"/>
      <x:c r="N119" s="113"/>
      <x:c r="O119" s="113"/>
    </x:row>
    <x:row r="120">
      <x:c r="A120" s="113"/>
      <x:c r="B120" s="113"/>
      <x:c r="C120" s="113"/>
      <x:c r="D120" s="113"/>
      <x:c r="E120" s="113"/>
      <x:c r="F120" s="113"/>
      <x:c r="G120" s="113"/>
      <x:c r="H120" s="113"/>
      <x:c r="I120" s="113"/>
      <x:c r="J120" s="113"/>
      <x:c r="K120" s="113"/>
      <x:c r="L120" s="113"/>
      <x:c r="M120" s="113"/>
      <x:c r="N120" s="113"/>
      <x:c r="O120" s="113"/>
    </x:row>
  </x:sheetData>
  <x:mergeCells>
    <x:mergeCell ref="A1:L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2" hidden="0" customWidth="1"/>
    <x:col min="9" max="9" width="22" hidden="0" customWidth="1"/>
    <x:col min="10" max="10" width="22" hidden="0" customWidth="1"/>
    <x:col min="11" max="11" width="34" hidden="0" customWidth="1"/>
    <x:col min="12" max="12" width="16" hidden="0" customWidth="1"/>
  </x:cols>
  <x:sheetData>
    <x:row r="1" ht="28" customHeight="1">
      <x:c r="A1" s="77" t="str">
        <x:v>高可用、备份与灾备目标矩阵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113"/>
      <x:c r="N1" s="113"/>
      <x:c r="O1" s="113"/>
    </x:row>
    <x:row r="2">
      <x:c r="A2" s="113"/>
      <x:c r="B2" s="113"/>
      <x:c r="C2" s="113"/>
      <x:c r="D2" s="113"/>
      <x:c r="E2" s="113"/>
      <x:c r="F2" s="113"/>
      <x:c r="G2" s="113"/>
      <x:c r="H2" s="113"/>
      <x:c r="I2" s="113"/>
      <x:c r="J2" s="113"/>
      <x:c r="K2" s="113"/>
      <x:c r="L2" s="113"/>
      <x:c r="M2" s="113"/>
      <x:c r="N2" s="113"/>
      <x:c r="O2" s="113"/>
    </x:row>
    <x:row r="3">
      <x:c r="A3" s="113"/>
      <x:c r="B3" s="113"/>
      <x:c r="C3" s="113"/>
      <x:c r="D3" s="113"/>
      <x:c r="E3" s="113"/>
      <x:c r="F3" s="113"/>
      <x:c r="G3" s="113"/>
      <x:c r="H3" s="113"/>
      <x:c r="I3" s="113"/>
      <x:c r="J3" s="113"/>
      <x:c r="K3" s="113"/>
      <x:c r="L3" s="113"/>
      <x:c r="M3" s="113"/>
      <x:c r="N3" s="113"/>
      <x:c r="O3" s="113"/>
    </x:row>
    <x:row r="4">
      <x:c r="A4" s="80" t="str">
        <x:v>组件/服务</x:v>
      </x:c>
      <x:c r="B4" s="81" t="str">
        <x:v>本地HA模式</x:v>
      </x:c>
      <x:c r="C4" s="81" t="str">
        <x:v>本地RTO</x:v>
      </x:c>
      <x:c r="D4" s="81" t="str">
        <x:v>本地RPO</x:v>
      </x:c>
      <x:c r="E4" s="81" t="str">
        <x:v>灾备模式</x:v>
      </x:c>
      <x:c r="F4" s="81" t="str">
        <x:v>灾备RTO</x:v>
      </x:c>
      <x:c r="G4" s="81" t="str">
        <x:v>灾备RPO</x:v>
      </x:c>
      <x:c r="H4" s="81" t="str">
        <x:v>故障检测</x:v>
      </x:c>
      <x:c r="I4" s="81" t="str">
        <x:v>切换方式</x:v>
      </x:c>
      <x:c r="J4" s="81" t="str">
        <x:v>演练频率</x:v>
      </x:c>
      <x:c r="K4" s="81" t="str">
        <x:v>关键限制</x:v>
      </x:c>
      <x:c r="L4" s="82" t="str">
        <x:v>责任团队</x:v>
      </x:c>
      <x:c r="M4" s="113"/>
      <x:c r="N4" s="113"/>
      <x:c r="O4" s="113"/>
    </x:row>
    <x:row r="5">
      <x:c r="A5" s="115" t="str">
        <x:v>MDM/API/FHIR</x:v>
      </x:c>
      <x:c r="B5" s="116" t="str">
        <x:v>K8s Active-Active 3+</x:v>
      </x:c>
      <x:c r="C5" s="116" t="str">
        <x:v>&lt;5分钟</x:v>
      </x:c>
      <x:c r="D5" s="116" t="str">
        <x:v>0/近0</x:v>
      </x:c>
      <x:c r="E5" s="116" t="str">
        <x:v>温备服务+DNS/GSLB</x:v>
      </x:c>
      <x:c r="F5" s="116" t="str">
        <x:v>&lt;=30分钟</x:v>
      </x:c>
      <x:c r="G5" s="116" t="str">
        <x:v>&lt;=5分钟</x:v>
      </x:c>
      <x:c r="H5" s="116" t="str">
        <x:v>探针+SLO</x:v>
      </x:c>
      <x:c r="I5" s="116" t="str">
        <x:v>自动本地/人工跨中心</x:v>
      </x:c>
      <x:c r="J5" s="116" t="str">
        <x:v>季度</x:v>
      </x:c>
      <x:c r="K5" s="116" t="str">
        <x:v>急诊注册需安全降级</x:v>
      </x:c>
      <x:c r="L5" s="119" t="str">
        <x:v>平台SRE</x:v>
      </x:c>
      <x:c r="M5" s="113"/>
      <x:c r="N5" s="113"/>
      <x:c r="O5" s="113"/>
    </x:row>
    <x:row r="6">
      <x:c r="A6" s="115" t="str">
        <x:v>PostgreSQL</x:v>
      </x:c>
      <x:c r="B6" s="116" t="str">
        <x:v>Patroni 1主2备，本地同步</x:v>
      </x:c>
      <x:c r="C6" s="116" t="str">
        <x:v>&lt;=10分钟</x:v>
      </x:c>
      <x:c r="D6" s="116" t="str">
        <x:v>0</x:v>
      </x:c>
      <x:c r="E6" s="116" t="str">
        <x:v>异步流复制+PITR</x:v>
      </x:c>
      <x:c r="F6" s="116" t="str">
        <x:v>&lt;=30分钟</x:v>
      </x:c>
      <x:c r="G6" s="116" t="str">
        <x:v>&lt;=5分钟</x:v>
      </x:c>
      <x:c r="H6" s="116" t="str">
        <x:v>Patroni/DB监控</x:v>
      </x:c>
      <x:c r="I6" s="116" t="str">
        <x:v>自动本地/审批跨中心</x:v>
      </x:c>
      <x:c r="J6" s="116" t="str">
        <x:v>季度</x:v>
      </x:c>
      <x:c r="K6" s="116" t="str">
        <x:v>需fencing防双主</x:v>
      </x:c>
      <x:c r="L6" s="119" t="str">
        <x:v>DBA</x:v>
      </x:c>
      <x:c r="M6" s="113"/>
      <x:c r="N6" s="113"/>
      <x:c r="O6" s="113"/>
    </x:row>
    <x:row r="7">
      <x:c r="A7" s="115" t="str">
        <x:v>Kafka</x:v>
      </x:c>
      <x:c r="B7" s="116" t="str">
        <x:v>3控制器+5Broker，RF3</x:v>
      </x:c>
      <x:c r="C7" s="116" t="str">
        <x:v>&lt;=10分钟</x:v>
      </x:c>
      <x:c r="D7" s="116" t="str">
        <x:v>0</x:v>
      </x:c>
      <x:c r="E7" s="116" t="str">
        <x:v>MirrorMaker2/关键事件落湖</x:v>
      </x:c>
      <x:c r="F7" s="116" t="str">
        <x:v>&lt;=30分钟</x:v>
      </x:c>
      <x:c r="G7" s="116" t="str">
        <x:v>&lt;=5分钟</x:v>
      </x:c>
      <x:c r="H7" s="116" t="str">
        <x:v>ISR/Controller/Lag</x:v>
      </x:c>
      <x:c r="I7" s="116" t="str">
        <x:v>自动分区选主/跨中心人工</x:v>
      </x:c>
      <x:c r="J7" s="116" t="str">
        <x:v>季度</x:v>
      </x:c>
      <x:c r="K7" s="116" t="str">
        <x:v>跨中心不保证事务原子</x:v>
      </x:c>
      <x:c r="L7" s="119" t="str">
        <x:v>事件平台</x:v>
      </x:c>
      <x:c r="M7" s="113"/>
      <x:c r="N7" s="113"/>
      <x:c r="O7" s="113"/>
    </x:row>
    <x:row r="8">
      <x:c r="A8" s="115" t="str">
        <x:v>NiFi</x:v>
      </x:c>
      <x:c r="B8" s="116" t="str">
        <x:v>3节点+LB</x:v>
      </x:c>
      <x:c r="C8" s="116" t="str">
        <x:v>&lt;=10分钟</x:v>
      </x:c>
      <x:c r="D8" s="116" t="str">
        <x:v>队列内近0</x:v>
      </x:c>
      <x:c r="E8" s="116" t="str">
        <x:v>灾备Flow预置+文件/事件重放</x:v>
      </x:c>
      <x:c r="F8" s="116" t="str">
        <x:v>&lt;=60分钟</x:v>
      </x:c>
      <x:c r="G8" s="116" t="str">
        <x:v>&lt;=15分钟</x:v>
      </x:c>
      <x:c r="H8" s="116" t="str">
        <x:v>节点/队列/磁盘</x:v>
      </x:c>
      <x:c r="I8" s="116" t="str">
        <x:v>LB摘除/灾备启动</x:v>
      </x:c>
      <x:c r="J8" s="116" t="str">
        <x:v>半年</x:v>
      </x:c>
      <x:c r="K8" s="116" t="str">
        <x:v>本地队列与Content Repo需设计</x:v>
      </x:c>
      <x:c r="L8" s="119" t="str">
        <x:v>集成团队</x:v>
      </x:c>
      <x:c r="M8" s="113"/>
      <x:c r="N8" s="113"/>
      <x:c r="O8" s="113"/>
    </x:row>
    <x:row r="9">
      <x:c r="A9" s="115" t="str">
        <x:v>Ceph/Iceberg</x:v>
      </x:c>
      <x:c r="B9" s="116" t="str">
        <x:v>多节点、多副本/EC</x:v>
      </x:c>
      <x:c r="C9" s="116" t="str">
        <x:v>节点故障无中断</x:v>
      </x:c>
      <x:c r="D9" s="116" t="str">
        <x:v>0</x:v>
      </x:c>
      <x:c r="E9" s="116" t="str">
        <x:v>RGW Multisite+Catalog备份</x:v>
      </x:c>
      <x:c r="F9" s="116" t="str">
        <x:v>&lt;=60分钟</x:v>
      </x:c>
      <x:c r="G9" s="116" t="str">
        <x:v>&lt;=15分钟</x:v>
      </x:c>
      <x:c r="H9" s="116" t="str">
        <x:v>Ceph health/复制队列</x:v>
      </x:c>
      <x:c r="I9" s="116" t="str">
        <x:v>池级自动/跨中心人工</x:v>
      </x:c>
      <x:c r="J9" s="116" t="str">
        <x:v>半年</x:v>
      </x:c>
      <x:c r="K9" s="116" t="str">
        <x:v>Iceberg提交与Catalog一致性</x:v>
      </x:c>
      <x:c r="L9" s="119" t="str">
        <x:v>存储团队</x:v>
      </x:c>
      <x:c r="M9" s="113"/>
      <x:c r="N9" s="113"/>
      <x:c r="O9" s="113"/>
    </x:row>
    <x:row r="10">
      <x:c r="A10" s="115" t="str">
        <x:v>OpenSearch</x:v>
      </x:c>
      <x:c r="B10" s="116" t="str">
        <x:v>3 Manager+5 Data，副本</x:v>
      </x:c>
      <x:c r="C10" s="116" t="str">
        <x:v>&lt;=15分钟</x:v>
      </x:c>
      <x:c r="D10" s="116" t="str">
        <x:v>0/近0</x:v>
      </x:c>
      <x:c r="E10" s="116" t="str">
        <x:v>快照恢复或CCR</x:v>
      </x:c>
      <x:c r="F10" s="116" t="str">
        <x:v>1-4小时</x:v>
      </x:c>
      <x:c r="G10" s="116" t="str">
        <x:v>&lt;=1小时</x:v>
      </x:c>
      <x:c r="H10" s="116" t="str">
        <x:v>集群/分片/磁盘</x:v>
      </x:c>
      <x:c r="I10" s="116" t="str">
        <x:v>本地自动/灾备恢复</x:v>
      </x:c>
      <x:c r="J10" s="116" t="str">
        <x:v>半年</x:v>
      </x:c>
      <x:c r="K10" s="116" t="str">
        <x:v>大量索引恢复耗时</x:v>
      </x:c>
      <x:c r="L10" s="119" t="str">
        <x:v>搜索平台</x:v>
      </x:c>
      <x:c r="M10" s="113"/>
      <x:c r="N10" s="113"/>
      <x:c r="O10" s="113"/>
    </x:row>
    <x:row r="11">
      <x:c r="A11" s="115" t="str">
        <x:v>OpenMetadata</x:v>
      </x:c>
      <x:c r="B11" s="116" t="str">
        <x:v>3副本+外置依赖</x:v>
      </x:c>
      <x:c r="C11" s="116" t="str">
        <x:v>&lt;=15分钟</x:v>
      </x:c>
      <x:c r="D11" s="116" t="str">
        <x:v>取决于PG</x:v>
      </x:c>
      <x:c r="E11" s="116" t="str">
        <x:v>灾备重建+DB恢复</x:v>
      </x:c>
      <x:c r="F11" s="116" t="str">
        <x:v>&lt;=2小时</x:v>
      </x:c>
      <x:c r="G11" s="116" t="str">
        <x:v>&lt;=30分钟</x:v>
      </x:c>
      <x:c r="H11" s="116" t="str">
        <x:v>应用/采集任务</x:v>
      </x:c>
      <x:c r="I11" s="116" t="str">
        <x:v>K8s重建</x:v>
      </x:c>
      <x:c r="J11" s="116" t="str">
        <x:v>半年</x:v>
      </x:c>
      <x:c r="K11" s="116" t="str">
        <x:v>目录不是临床实时交易</x:v>
      </x:c>
      <x:c r="L11" s="119" t="str">
        <x:v>治理平台</x:v>
      </x:c>
      <x:c r="M11" s="113"/>
      <x:c r="N11" s="113"/>
      <x:c r="O11" s="113"/>
    </x:row>
    <x:row r="12">
      <x:c r="A12" s="115" t="str">
        <x:v>Keycloak</x:v>
      </x:c>
      <x:c r="B12" s="116" t="str">
        <x:v>3副本+外置PG</x:v>
      </x:c>
      <x:c r="C12" s="116" t="str">
        <x:v>&lt;=10分钟</x:v>
      </x:c>
      <x:c r="D12" s="116" t="str">
        <x:v>取决于PG</x:v>
      </x:c>
      <x:c r="E12" s="116" t="str">
        <x:v>灾备实例+DB复制</x:v>
      </x:c>
      <x:c r="F12" s="116" t="str">
        <x:v>&lt;=30分钟</x:v>
      </x:c>
      <x:c r="G12" s="116" t="str">
        <x:v>&lt;=5分钟</x:v>
      </x:c>
      <x:c r="H12" s="116" t="str">
        <x:v>登录/缓存/DB</x:v>
      </x:c>
      <x:c r="I12" s="116" t="str">
        <x:v>LB/DNS</x:v>
      </x:c>
      <x:c r="J12" s="116" t="str">
        <x:v>季度</x:v>
      </x:c>
      <x:c r="K12" s="116" t="str">
        <x:v>令牌已签发有效期影响撤销</x:v>
      </x:c>
      <x:c r="L12" s="119" t="str">
        <x:v>IAM团队</x:v>
      </x:c>
      <x:c r="M12" s="113"/>
      <x:c r="N12" s="113"/>
      <x:c r="O12" s="113"/>
    </x:row>
    <x:row r="13">
      <x:c r="A13" s="115" t="str">
        <x:v>Trino</x:v>
      </x:c>
      <x:c r="B13" s="116" t="str">
        <x:v>多Coordinator路由+多Worker</x:v>
      </x:c>
      <x:c r="C13" s="116" t="str">
        <x:v>新查询&lt;10分钟</x:v>
      </x:c>
      <x:c r="D13" s="116" t="str">
        <x:v>不适用</x:v>
      </x:c>
      <x:c r="E13" s="116" t="str">
        <x:v>灾备集群</x:v>
      </x:c>
      <x:c r="F13" s="116" t="str">
        <x:v>&lt;=60分钟</x:v>
      </x:c>
      <x:c r="G13" s="116" t="str">
        <x:v>数据源RPO</x:v>
      </x:c>
      <x:c r="H13" s="116" t="str">
        <x:v>查询/Worker</x:v>
      </x:c>
      <x:c r="I13" s="116" t="str">
        <x:v>客户端重试</x:v>
      </x:c>
      <x:c r="J13" s="116" t="str">
        <x:v>半年</x:v>
      </x:c>
      <x:c r="K13" s="116" t="str">
        <x:v>运行中查询通常不能透明恢复</x:v>
      </x:c>
      <x:c r="L13" s="119" t="str">
        <x:v>数据平台</x:v>
      </x:c>
      <x:c r="M13" s="113"/>
      <x:c r="N13" s="113"/>
      <x:c r="O13" s="113"/>
    </x:row>
    <x:row r="14">
      <x:c r="A14" s="121" t="str">
        <x:v>审计与不可变备份</x:v>
      </x:c>
      <x:c r="B14" s="123" t="str">
        <x:v>双写+对象锁</x:v>
      </x:c>
      <x:c r="C14" s="123" t="str">
        <x:v>&lt;=15分钟</x:v>
      </x:c>
      <x:c r="D14" s="123" t="str">
        <x:v>&lt;=5分钟</x:v>
      </x:c>
      <x:c r="E14" s="123" t="str">
        <x:v>异地WORM/离线副本</x:v>
      </x:c>
      <x:c r="F14" s="123" t="str">
        <x:v>&lt;=4小时</x:v>
      </x:c>
      <x:c r="G14" s="123" t="str">
        <x:v>&lt;=24小时</x:v>
      </x:c>
      <x:c r="H14" s="123" t="str">
        <x:v>流水心跳/备份校验</x:v>
      </x:c>
      <x:c r="I14" s="123" t="str">
        <x:v>恢复后核验</x:v>
      </x:c>
      <x:c r="J14" s="123" t="str">
        <x:v>季度</x:v>
      </x:c>
      <x:c r="K14" s="123" t="str">
        <x:v>审计管理员与平台管理员分权</x:v>
      </x:c>
      <x:c r="L14" s="124" t="str">
        <x:v>安全审计</x:v>
      </x:c>
      <x:c r="M14" s="113"/>
      <x:c r="N14" s="113"/>
      <x:c r="O14" s="113"/>
    </x:row>
    <x:row r="15">
      <x:c r="A15" s="113"/>
      <x:c r="B15" s="113"/>
      <x:c r="C15" s="113"/>
      <x:c r="D15" s="113"/>
      <x:c r="E15" s="113"/>
      <x:c r="F15" s="113"/>
      <x:c r="G15" s="113"/>
      <x:c r="H15" s="113"/>
      <x:c r="I15" s="113"/>
      <x:c r="J15" s="113"/>
      <x:c r="K15" s="113"/>
      <x:c r="L15" s="113"/>
      <x:c r="M15" s="113"/>
      <x:c r="N15" s="113"/>
      <x:c r="O15" s="113"/>
    </x:row>
    <x:row r="16">
      <x:c r="A16" s="113"/>
      <x:c r="B16" s="113"/>
      <x:c r="C16" s="113"/>
      <x:c r="D16" s="113"/>
      <x:c r="E16" s="113"/>
      <x:c r="F16" s="113"/>
      <x:c r="G16" s="113"/>
      <x:c r="H16" s="113"/>
      <x:c r="I16" s="113"/>
      <x:c r="J16" s="113"/>
      <x:c r="K16" s="113"/>
      <x:c r="L16" s="113"/>
      <x:c r="M16" s="113"/>
      <x:c r="N16" s="113"/>
      <x:c r="O16" s="113"/>
    </x:row>
    <x:row r="17">
      <x:c r="A17" s="113"/>
      <x:c r="B17" s="113"/>
      <x:c r="C17" s="113"/>
      <x:c r="D17" s="113"/>
      <x:c r="E17" s="113"/>
      <x:c r="F17" s="113"/>
      <x:c r="G17" s="113"/>
      <x:c r="H17" s="113"/>
      <x:c r="I17" s="113"/>
      <x:c r="J17" s="113"/>
      <x:c r="K17" s="113"/>
      <x:c r="L17" s="113"/>
      <x:c r="M17" s="113"/>
      <x:c r="N17" s="113"/>
      <x:c r="O17" s="113"/>
    </x:row>
    <x:row r="18">
      <x:c r="A18" s="113"/>
      <x:c r="B18" s="113"/>
      <x:c r="C18" s="113"/>
      <x:c r="D18" s="113"/>
      <x:c r="E18" s="113"/>
      <x:c r="F18" s="113"/>
      <x:c r="G18" s="113"/>
      <x:c r="H18" s="113"/>
      <x:c r="I18" s="113"/>
      <x:c r="J18" s="113"/>
      <x:c r="K18" s="113"/>
      <x:c r="L18" s="113"/>
      <x:c r="M18" s="113"/>
      <x:c r="N18" s="113"/>
      <x:c r="O18" s="113"/>
    </x:row>
    <x:row r="19">
      <x:c r="A19" s="113"/>
      <x:c r="B19" s="113"/>
      <x:c r="C19" s="113"/>
      <x:c r="D19" s="113"/>
      <x:c r="E19" s="113"/>
      <x:c r="F19" s="113"/>
      <x:c r="G19" s="113"/>
      <x:c r="H19" s="113"/>
      <x:c r="I19" s="113"/>
      <x:c r="J19" s="113"/>
      <x:c r="K19" s="113"/>
      <x:c r="L19" s="113"/>
      <x:c r="M19" s="113"/>
      <x:c r="N19" s="113"/>
      <x:c r="O19" s="113"/>
    </x:row>
    <x:row r="20">
      <x:c r="A20" s="113"/>
      <x:c r="B20" s="113"/>
      <x:c r="C20" s="113"/>
      <x:c r="D20" s="113"/>
      <x:c r="E20" s="113"/>
      <x:c r="F20" s="113"/>
      <x:c r="G20" s="113"/>
      <x:c r="H20" s="113"/>
      <x:c r="I20" s="113"/>
      <x:c r="J20" s="113"/>
      <x:c r="K20" s="113"/>
      <x:c r="L20" s="113"/>
      <x:c r="M20" s="113"/>
      <x:c r="N20" s="113"/>
      <x:c r="O20" s="113"/>
    </x:row>
    <x:row r="21">
      <x:c r="A21" s="113"/>
      <x:c r="B21" s="113"/>
      <x:c r="C21" s="113"/>
      <x:c r="D21" s="113"/>
      <x:c r="E21" s="113"/>
      <x:c r="F21" s="113"/>
      <x:c r="G21" s="113"/>
      <x:c r="H21" s="113"/>
      <x:c r="I21" s="113"/>
      <x:c r="J21" s="113"/>
      <x:c r="K21" s="113"/>
      <x:c r="L21" s="113"/>
      <x:c r="M21" s="113"/>
      <x:c r="N21" s="113"/>
      <x:c r="O21" s="113"/>
    </x:row>
    <x:row r="22">
      <x:c r="A22" s="113"/>
      <x:c r="B22" s="113"/>
      <x:c r="C22" s="113"/>
      <x:c r="D22" s="113"/>
      <x:c r="E22" s="113"/>
      <x:c r="F22" s="113"/>
      <x:c r="G22" s="113"/>
      <x:c r="H22" s="113"/>
      <x:c r="I22" s="113"/>
      <x:c r="J22" s="113"/>
      <x:c r="K22" s="113"/>
      <x:c r="L22" s="113"/>
      <x:c r="M22" s="113"/>
      <x:c r="N22" s="113"/>
      <x:c r="O22" s="113"/>
    </x:row>
    <x:row r="23">
      <x:c r="A23" s="113"/>
      <x:c r="B23" s="113"/>
      <x:c r="C23" s="113"/>
      <x:c r="D23" s="113"/>
      <x:c r="E23" s="113"/>
      <x:c r="F23" s="113"/>
      <x:c r="G23" s="113"/>
      <x:c r="H23" s="113"/>
      <x:c r="I23" s="113"/>
      <x:c r="J23" s="113"/>
      <x:c r="K23" s="113"/>
      <x:c r="L23" s="113"/>
      <x:c r="M23" s="113"/>
      <x:c r="N23" s="113"/>
      <x:c r="O23" s="113"/>
    </x:row>
    <x:row r="24">
      <x:c r="A24" s="113"/>
      <x:c r="B24" s="113"/>
      <x:c r="C24" s="113"/>
      <x:c r="D24" s="113"/>
      <x:c r="E24" s="113"/>
      <x:c r="F24" s="113"/>
      <x:c r="G24" s="113"/>
      <x:c r="H24" s="113"/>
      <x:c r="I24" s="113"/>
      <x:c r="J24" s="113"/>
      <x:c r="K24" s="113"/>
      <x:c r="L24" s="113"/>
      <x:c r="M24" s="113"/>
      <x:c r="N24" s="113"/>
      <x:c r="O24" s="113"/>
    </x:row>
    <x:row r="25">
      <x:c r="A25" s="113"/>
      <x:c r="B25" s="113"/>
      <x:c r="C25" s="113"/>
      <x:c r="D25" s="113"/>
      <x:c r="E25" s="113"/>
      <x:c r="F25" s="113"/>
      <x:c r="G25" s="113"/>
      <x:c r="H25" s="113"/>
      <x:c r="I25" s="113"/>
      <x:c r="J25" s="113"/>
      <x:c r="K25" s="113"/>
      <x:c r="L25" s="113"/>
      <x:c r="M25" s="113"/>
      <x:c r="N25" s="113"/>
      <x:c r="O25" s="113"/>
    </x:row>
    <x:row r="26">
      <x:c r="A26" s="113"/>
      <x:c r="B26" s="113"/>
      <x:c r="C26" s="113"/>
      <x:c r="D26" s="113"/>
      <x:c r="E26" s="113"/>
      <x:c r="F26" s="113"/>
      <x:c r="G26" s="113"/>
      <x:c r="H26" s="113"/>
      <x:c r="I26" s="113"/>
      <x:c r="J26" s="113"/>
      <x:c r="K26" s="113"/>
      <x:c r="L26" s="113"/>
      <x:c r="M26" s="113"/>
      <x:c r="N26" s="113"/>
      <x:c r="O26" s="113"/>
    </x:row>
    <x:row r="27">
      <x:c r="A27" s="113"/>
      <x:c r="B27" s="113"/>
      <x:c r="C27" s="113"/>
      <x:c r="D27" s="113"/>
      <x:c r="E27" s="113"/>
      <x:c r="F27" s="113"/>
      <x:c r="G27" s="113"/>
      <x:c r="H27" s="113"/>
      <x:c r="I27" s="113"/>
      <x:c r="J27" s="113"/>
      <x:c r="K27" s="113"/>
      <x:c r="L27" s="113"/>
      <x:c r="M27" s="113"/>
      <x:c r="N27" s="113"/>
      <x:c r="O27" s="113"/>
    </x:row>
    <x:row r="28">
      <x:c r="A28" s="113"/>
      <x:c r="B28" s="113"/>
      <x:c r="C28" s="113"/>
      <x:c r="D28" s="113"/>
      <x:c r="E28" s="113"/>
      <x:c r="F28" s="113"/>
      <x:c r="G28" s="113"/>
      <x:c r="H28" s="113"/>
      <x:c r="I28" s="113"/>
      <x:c r="J28" s="113"/>
      <x:c r="K28" s="113"/>
      <x:c r="L28" s="113"/>
      <x:c r="M28" s="113"/>
      <x:c r="N28" s="113"/>
      <x:c r="O28" s="113"/>
    </x:row>
    <x:row r="29">
      <x:c r="A29" s="113"/>
      <x:c r="B29" s="113"/>
      <x:c r="C29" s="113"/>
      <x:c r="D29" s="113"/>
      <x:c r="E29" s="113"/>
      <x:c r="F29" s="113"/>
      <x:c r="G29" s="113"/>
      <x:c r="H29" s="113"/>
      <x:c r="I29" s="113"/>
      <x:c r="J29" s="113"/>
      <x:c r="K29" s="113"/>
      <x:c r="L29" s="113"/>
      <x:c r="M29" s="113"/>
      <x:c r="N29" s="113"/>
      <x:c r="O29" s="113"/>
    </x:row>
    <x:row r="30">
      <x:c r="A30" s="113"/>
      <x:c r="B30" s="113"/>
      <x:c r="C30" s="113"/>
      <x:c r="D30" s="113"/>
      <x:c r="E30" s="113"/>
      <x:c r="F30" s="113"/>
      <x:c r="G30" s="113"/>
      <x:c r="H30" s="113"/>
      <x:c r="I30" s="113"/>
      <x:c r="J30" s="113"/>
      <x:c r="K30" s="113"/>
      <x:c r="L30" s="113"/>
      <x:c r="M30" s="113"/>
      <x:c r="N30" s="113"/>
      <x:c r="O30" s="113"/>
    </x:row>
    <x:row r="31">
      <x:c r="A31" s="113"/>
      <x:c r="B31" s="113"/>
      <x:c r="C31" s="113"/>
      <x:c r="D31" s="113"/>
      <x:c r="E31" s="113"/>
      <x:c r="F31" s="113"/>
      <x:c r="G31" s="113"/>
      <x:c r="H31" s="113"/>
      <x:c r="I31" s="113"/>
      <x:c r="J31" s="113"/>
      <x:c r="K31" s="113"/>
      <x:c r="L31" s="113"/>
      <x:c r="M31" s="113"/>
      <x:c r="N31" s="113"/>
      <x:c r="O31" s="113"/>
    </x:row>
    <x:row r="32">
      <x:c r="A32" s="113"/>
      <x:c r="B32" s="113"/>
      <x:c r="C32" s="113"/>
      <x:c r="D32" s="113"/>
      <x:c r="E32" s="113"/>
      <x:c r="F32" s="113"/>
      <x:c r="G32" s="113"/>
      <x:c r="H32" s="113"/>
      <x:c r="I32" s="113"/>
      <x:c r="J32" s="113"/>
      <x:c r="K32" s="113"/>
      <x:c r="L32" s="113"/>
      <x:c r="M32" s="113"/>
      <x:c r="N32" s="113"/>
      <x:c r="O32" s="113"/>
    </x:row>
    <x:row r="33">
      <x:c r="A33" s="113"/>
      <x:c r="B33" s="113"/>
      <x:c r="C33" s="113"/>
      <x:c r="D33" s="113"/>
      <x:c r="E33" s="113"/>
      <x:c r="F33" s="113"/>
      <x:c r="G33" s="113"/>
      <x:c r="H33" s="113"/>
      <x:c r="I33" s="113"/>
      <x:c r="J33" s="113"/>
      <x:c r="K33" s="113"/>
      <x:c r="L33" s="113"/>
      <x:c r="M33" s="113"/>
      <x:c r="N33" s="113"/>
      <x:c r="O33" s="113"/>
    </x:row>
    <x:row r="34">
      <x:c r="A34" s="113"/>
      <x:c r="B34" s="113"/>
      <x:c r="C34" s="113"/>
      <x:c r="D34" s="113"/>
      <x:c r="E34" s="113"/>
      <x:c r="F34" s="113"/>
      <x:c r="G34" s="113"/>
      <x:c r="H34" s="113"/>
      <x:c r="I34" s="113"/>
      <x:c r="J34" s="113"/>
      <x:c r="K34" s="113"/>
      <x:c r="L34" s="113"/>
      <x:c r="M34" s="113"/>
      <x:c r="N34" s="113"/>
      <x:c r="O34" s="113"/>
    </x:row>
    <x:row r="35">
      <x:c r="A35" s="113"/>
      <x:c r="B35" s="113"/>
      <x:c r="C35" s="113"/>
      <x:c r="D35" s="113"/>
      <x:c r="E35" s="113"/>
      <x:c r="F35" s="113"/>
      <x:c r="G35" s="113"/>
      <x:c r="H35" s="113"/>
      <x:c r="I35" s="113"/>
      <x:c r="J35" s="113"/>
      <x:c r="K35" s="113"/>
      <x:c r="L35" s="113"/>
      <x:c r="M35" s="113"/>
      <x:c r="N35" s="113"/>
      <x:c r="O35" s="113"/>
    </x:row>
    <x:row r="36">
      <x:c r="A36" s="113"/>
      <x:c r="B36" s="113"/>
      <x:c r="C36" s="113"/>
      <x:c r="D36" s="113"/>
      <x:c r="E36" s="113"/>
      <x:c r="F36" s="113"/>
      <x:c r="G36" s="113"/>
      <x:c r="H36" s="113"/>
      <x:c r="I36" s="113"/>
      <x:c r="J36" s="113"/>
      <x:c r="K36" s="113"/>
      <x:c r="L36" s="113"/>
      <x:c r="M36" s="113"/>
      <x:c r="N36" s="113"/>
      <x:c r="O36" s="113"/>
    </x:row>
    <x:row r="37">
      <x:c r="A37" s="113"/>
      <x:c r="B37" s="113"/>
      <x:c r="C37" s="113"/>
      <x:c r="D37" s="113"/>
      <x:c r="E37" s="113"/>
      <x:c r="F37" s="113"/>
      <x:c r="G37" s="113"/>
      <x:c r="H37" s="113"/>
      <x:c r="I37" s="113"/>
      <x:c r="J37" s="113"/>
      <x:c r="K37" s="113"/>
      <x:c r="L37" s="113"/>
      <x:c r="M37" s="113"/>
      <x:c r="N37" s="113"/>
      <x:c r="O37" s="113"/>
    </x:row>
    <x:row r="38">
      <x:c r="A38" s="113"/>
      <x:c r="B38" s="113"/>
      <x:c r="C38" s="113"/>
      <x:c r="D38" s="113"/>
      <x:c r="E38" s="113"/>
      <x:c r="F38" s="113"/>
      <x:c r="G38" s="113"/>
      <x:c r="H38" s="113"/>
      <x:c r="I38" s="113"/>
      <x:c r="J38" s="113"/>
      <x:c r="K38" s="113"/>
      <x:c r="L38" s="113"/>
      <x:c r="M38" s="113"/>
      <x:c r="N38" s="113"/>
      <x:c r="O38" s="113"/>
    </x:row>
    <x:row r="39">
      <x:c r="A39" s="113"/>
      <x:c r="B39" s="113"/>
      <x:c r="C39" s="113"/>
      <x:c r="D39" s="113"/>
      <x:c r="E39" s="113"/>
      <x:c r="F39" s="113"/>
      <x:c r="G39" s="113"/>
      <x:c r="H39" s="113"/>
      <x:c r="I39" s="113"/>
      <x:c r="J39" s="113"/>
      <x:c r="K39" s="113"/>
      <x:c r="L39" s="113"/>
      <x:c r="M39" s="113"/>
      <x:c r="N39" s="113"/>
      <x:c r="O39" s="113"/>
    </x:row>
    <x:row r="40">
      <x:c r="A40" s="113"/>
      <x:c r="B40" s="113"/>
      <x:c r="C40" s="113"/>
      <x:c r="D40" s="113"/>
      <x:c r="E40" s="113"/>
      <x:c r="F40" s="113"/>
      <x:c r="G40" s="113"/>
      <x:c r="H40" s="113"/>
      <x:c r="I40" s="113"/>
      <x:c r="J40" s="113"/>
      <x:c r="K40" s="113"/>
      <x:c r="L40" s="113"/>
      <x:c r="M40" s="113"/>
      <x:c r="N40" s="113"/>
      <x:c r="O40" s="113"/>
    </x:row>
    <x:row r="41">
      <x:c r="A41" s="113"/>
      <x:c r="B41" s="113"/>
      <x:c r="C41" s="113"/>
      <x:c r="D41" s="113"/>
      <x:c r="E41" s="113"/>
      <x:c r="F41" s="113"/>
      <x:c r="G41" s="113"/>
      <x:c r="H41" s="113"/>
      <x:c r="I41" s="113"/>
      <x:c r="J41" s="113"/>
      <x:c r="K41" s="113"/>
      <x:c r="L41" s="113"/>
      <x:c r="M41" s="113"/>
      <x:c r="N41" s="113"/>
      <x:c r="O41" s="113"/>
    </x:row>
    <x:row r="42">
      <x:c r="A42" s="113"/>
      <x:c r="B42" s="113"/>
      <x:c r="C42" s="113"/>
      <x:c r="D42" s="113"/>
      <x:c r="E42" s="113"/>
      <x:c r="F42" s="113"/>
      <x:c r="G42" s="113"/>
      <x:c r="H42" s="113"/>
      <x:c r="I42" s="113"/>
      <x:c r="J42" s="113"/>
      <x:c r="K42" s="113"/>
      <x:c r="L42" s="113"/>
      <x:c r="M42" s="113"/>
      <x:c r="N42" s="113"/>
      <x:c r="O42" s="113"/>
    </x:row>
    <x:row r="43">
      <x:c r="A43" s="113"/>
      <x:c r="B43" s="113"/>
      <x:c r="C43" s="113"/>
      <x:c r="D43" s="113"/>
      <x:c r="E43" s="113"/>
      <x:c r="F43" s="113"/>
      <x:c r="G43" s="113"/>
      <x:c r="H43" s="113"/>
      <x:c r="I43" s="113"/>
      <x:c r="J43" s="113"/>
      <x:c r="K43" s="113"/>
      <x:c r="L43" s="113"/>
      <x:c r="M43" s="113"/>
      <x:c r="N43" s="113"/>
      <x:c r="O43" s="113"/>
    </x:row>
    <x:row r="44">
      <x:c r="A44" s="113"/>
      <x:c r="B44" s="113"/>
      <x:c r="C44" s="113"/>
      <x:c r="D44" s="113"/>
      <x:c r="E44" s="113"/>
      <x:c r="F44" s="113"/>
      <x:c r="G44" s="113"/>
      <x:c r="H44" s="113"/>
      <x:c r="I44" s="113"/>
      <x:c r="J44" s="113"/>
      <x:c r="K44" s="113"/>
      <x:c r="L44" s="113"/>
      <x:c r="M44" s="113"/>
      <x:c r="N44" s="113"/>
      <x:c r="O44" s="113"/>
    </x:row>
    <x:row r="45">
      <x:c r="A45" s="113"/>
      <x:c r="B45" s="113"/>
      <x:c r="C45" s="113"/>
      <x:c r="D45" s="113"/>
      <x:c r="E45" s="113"/>
      <x:c r="F45" s="113"/>
      <x:c r="G45" s="113"/>
      <x:c r="H45" s="113"/>
      <x:c r="I45" s="113"/>
      <x:c r="J45" s="113"/>
      <x:c r="K45" s="113"/>
      <x:c r="L45" s="113"/>
      <x:c r="M45" s="113"/>
      <x:c r="N45" s="113"/>
      <x:c r="O45" s="113"/>
    </x:row>
    <x:row r="46">
      <x:c r="A46" s="113"/>
      <x:c r="B46" s="113"/>
      <x:c r="C46" s="113"/>
      <x:c r="D46" s="113"/>
      <x:c r="E46" s="113"/>
      <x:c r="F46" s="113"/>
      <x:c r="G46" s="113"/>
      <x:c r="H46" s="113"/>
      <x:c r="I46" s="113"/>
      <x:c r="J46" s="113"/>
      <x:c r="K46" s="113"/>
      <x:c r="L46" s="113"/>
      <x:c r="M46" s="113"/>
      <x:c r="N46" s="113"/>
      <x:c r="O46" s="113"/>
    </x:row>
    <x:row r="47">
      <x:c r="A47" s="113"/>
      <x:c r="B47" s="113"/>
      <x:c r="C47" s="113"/>
      <x:c r="D47" s="113"/>
      <x:c r="E47" s="113"/>
      <x:c r="F47" s="113"/>
      <x:c r="G47" s="113"/>
      <x:c r="H47" s="113"/>
      <x:c r="I47" s="113"/>
      <x:c r="J47" s="113"/>
      <x:c r="K47" s="113"/>
      <x:c r="L47" s="113"/>
      <x:c r="M47" s="113"/>
      <x:c r="N47" s="113"/>
      <x:c r="O47" s="113"/>
    </x:row>
    <x:row r="48">
      <x:c r="A48" s="113"/>
      <x:c r="B48" s="113"/>
      <x:c r="C48" s="113"/>
      <x:c r="D48" s="113"/>
      <x:c r="E48" s="113"/>
      <x:c r="F48" s="113"/>
      <x:c r="G48" s="113"/>
      <x:c r="H48" s="113"/>
      <x:c r="I48" s="113"/>
      <x:c r="J48" s="113"/>
      <x:c r="K48" s="113"/>
      <x:c r="L48" s="113"/>
      <x:c r="M48" s="113"/>
      <x:c r="N48" s="113"/>
      <x:c r="O48" s="113"/>
    </x:row>
    <x:row r="49">
      <x:c r="A49" s="113"/>
      <x:c r="B49" s="113"/>
      <x:c r="C49" s="113"/>
      <x:c r="D49" s="113"/>
      <x:c r="E49" s="113"/>
      <x:c r="F49" s="113"/>
      <x:c r="G49" s="113"/>
      <x:c r="H49" s="113"/>
      <x:c r="I49" s="113"/>
      <x:c r="J49" s="113"/>
      <x:c r="K49" s="113"/>
      <x:c r="L49" s="113"/>
      <x:c r="M49" s="113"/>
      <x:c r="N49" s="113"/>
      <x:c r="O49" s="113"/>
    </x:row>
    <x:row r="50">
      <x:c r="A50" s="113"/>
      <x:c r="B50" s="113"/>
      <x:c r="C50" s="113"/>
      <x:c r="D50" s="113"/>
      <x:c r="E50" s="113"/>
      <x:c r="F50" s="113"/>
      <x:c r="G50" s="113"/>
      <x:c r="H50" s="113"/>
      <x:c r="I50" s="113"/>
      <x:c r="J50" s="113"/>
      <x:c r="K50" s="113"/>
      <x:c r="L50" s="113"/>
      <x:c r="M50" s="113"/>
      <x:c r="N50" s="113"/>
      <x:c r="O50" s="113"/>
    </x:row>
    <x:row r="51">
      <x:c r="A51" s="113"/>
      <x:c r="B51" s="113"/>
      <x:c r="C51" s="113"/>
      <x:c r="D51" s="113"/>
      <x:c r="E51" s="113"/>
      <x:c r="F51" s="113"/>
      <x:c r="G51" s="113"/>
      <x:c r="H51" s="113"/>
      <x:c r="I51" s="113"/>
      <x:c r="J51" s="113"/>
      <x:c r="K51" s="113"/>
      <x:c r="L51" s="113"/>
      <x:c r="M51" s="113"/>
      <x:c r="N51" s="113"/>
      <x:c r="O51" s="113"/>
    </x:row>
    <x:row r="52">
      <x:c r="A52" s="113"/>
      <x:c r="B52" s="113"/>
      <x:c r="C52" s="113"/>
      <x:c r="D52" s="113"/>
      <x:c r="E52" s="113"/>
      <x:c r="F52" s="113"/>
      <x:c r="G52" s="113"/>
      <x:c r="H52" s="113"/>
      <x:c r="I52" s="113"/>
      <x:c r="J52" s="113"/>
      <x:c r="K52" s="113"/>
      <x:c r="L52" s="113"/>
      <x:c r="M52" s="113"/>
      <x:c r="N52" s="113"/>
      <x:c r="O52" s="113"/>
    </x:row>
    <x:row r="53">
      <x:c r="A53" s="113"/>
      <x:c r="B53" s="113"/>
      <x:c r="C53" s="113"/>
      <x:c r="D53" s="113"/>
      <x:c r="E53" s="113"/>
      <x:c r="F53" s="113"/>
      <x:c r="G53" s="113"/>
      <x:c r="H53" s="113"/>
      <x:c r="I53" s="113"/>
      <x:c r="J53" s="113"/>
      <x:c r="K53" s="113"/>
      <x:c r="L53" s="113"/>
      <x:c r="M53" s="113"/>
      <x:c r="N53" s="113"/>
      <x:c r="O53" s="113"/>
    </x:row>
    <x:row r="54">
      <x:c r="A54" s="113"/>
      <x:c r="B54" s="113"/>
      <x:c r="C54" s="113"/>
      <x:c r="D54" s="113"/>
      <x:c r="E54" s="113"/>
      <x:c r="F54" s="113"/>
      <x:c r="G54" s="113"/>
      <x:c r="H54" s="113"/>
      <x:c r="I54" s="113"/>
      <x:c r="J54" s="113"/>
      <x:c r="K54" s="113"/>
      <x:c r="L54" s="113"/>
      <x:c r="M54" s="113"/>
      <x:c r="N54" s="113"/>
      <x:c r="O54" s="113"/>
    </x:row>
    <x:row r="55">
      <x:c r="A55" s="113"/>
      <x:c r="B55" s="113"/>
      <x:c r="C55" s="113"/>
      <x:c r="D55" s="113"/>
      <x:c r="E55" s="113"/>
      <x:c r="F55" s="113"/>
      <x:c r="G55" s="113"/>
      <x:c r="H55" s="113"/>
      <x:c r="I55" s="113"/>
      <x:c r="J55" s="113"/>
      <x:c r="K55" s="113"/>
      <x:c r="L55" s="113"/>
      <x:c r="M55" s="113"/>
      <x:c r="N55" s="113"/>
      <x:c r="O55" s="113"/>
    </x:row>
    <x:row r="56">
      <x:c r="A56" s="113"/>
      <x:c r="B56" s="113"/>
      <x:c r="C56" s="113"/>
      <x:c r="D56" s="113"/>
      <x:c r="E56" s="113"/>
      <x:c r="F56" s="113"/>
      <x:c r="G56" s="113"/>
      <x:c r="H56" s="113"/>
      <x:c r="I56" s="113"/>
      <x:c r="J56" s="113"/>
      <x:c r="K56" s="113"/>
      <x:c r="L56" s="113"/>
      <x:c r="M56" s="113"/>
      <x:c r="N56" s="113"/>
      <x:c r="O56" s="113"/>
    </x:row>
    <x:row r="57">
      <x:c r="A57" s="113"/>
      <x:c r="B57" s="113"/>
      <x:c r="C57" s="113"/>
      <x:c r="D57" s="113"/>
      <x:c r="E57" s="113"/>
      <x:c r="F57" s="113"/>
      <x:c r="G57" s="113"/>
      <x:c r="H57" s="113"/>
      <x:c r="I57" s="113"/>
      <x:c r="J57" s="113"/>
      <x:c r="K57" s="113"/>
      <x:c r="L57" s="113"/>
      <x:c r="M57" s="113"/>
      <x:c r="N57" s="113"/>
      <x:c r="O57" s="113"/>
    </x:row>
    <x:row r="58">
      <x:c r="A58" s="113"/>
      <x:c r="B58" s="113"/>
      <x:c r="C58" s="113"/>
      <x:c r="D58" s="113"/>
      <x:c r="E58" s="113"/>
      <x:c r="F58" s="113"/>
      <x:c r="G58" s="113"/>
      <x:c r="H58" s="113"/>
      <x:c r="I58" s="113"/>
      <x:c r="J58" s="113"/>
      <x:c r="K58" s="113"/>
      <x:c r="L58" s="113"/>
      <x:c r="M58" s="113"/>
      <x:c r="N58" s="113"/>
      <x:c r="O58" s="113"/>
    </x:row>
    <x:row r="59">
      <x:c r="A59" s="113"/>
      <x:c r="B59" s="113"/>
      <x:c r="C59" s="113"/>
      <x:c r="D59" s="113"/>
      <x:c r="E59" s="113"/>
      <x:c r="F59" s="113"/>
      <x:c r="G59" s="113"/>
      <x:c r="H59" s="113"/>
      <x:c r="I59" s="113"/>
      <x:c r="J59" s="113"/>
      <x:c r="K59" s="113"/>
      <x:c r="L59" s="113"/>
      <x:c r="M59" s="113"/>
      <x:c r="N59" s="113"/>
      <x:c r="O59" s="113"/>
    </x:row>
    <x:row r="60">
      <x:c r="A60" s="113"/>
      <x:c r="B60" s="113"/>
      <x:c r="C60" s="113"/>
      <x:c r="D60" s="113"/>
      <x:c r="E60" s="113"/>
      <x:c r="F60" s="113"/>
      <x:c r="G60" s="113"/>
      <x:c r="H60" s="113"/>
      <x:c r="I60" s="113"/>
      <x:c r="J60" s="113"/>
      <x:c r="K60" s="113"/>
      <x:c r="L60" s="113"/>
      <x:c r="M60" s="113"/>
      <x:c r="N60" s="113"/>
      <x:c r="O60" s="113"/>
    </x:row>
    <x:row r="61">
      <x:c r="A61" s="113"/>
      <x:c r="B61" s="113"/>
      <x:c r="C61" s="113"/>
      <x:c r="D61" s="113"/>
      <x:c r="E61" s="113"/>
      <x:c r="F61" s="113"/>
      <x:c r="G61" s="113"/>
      <x:c r="H61" s="113"/>
      <x:c r="I61" s="113"/>
      <x:c r="J61" s="113"/>
      <x:c r="K61" s="113"/>
      <x:c r="L61" s="113"/>
      <x:c r="M61" s="113"/>
      <x:c r="N61" s="113"/>
      <x:c r="O61" s="113"/>
    </x:row>
    <x:row r="62">
      <x:c r="A62" s="113"/>
      <x:c r="B62" s="113"/>
      <x:c r="C62" s="113"/>
      <x:c r="D62" s="113"/>
      <x:c r="E62" s="113"/>
      <x:c r="F62" s="113"/>
      <x:c r="G62" s="113"/>
      <x:c r="H62" s="113"/>
      <x:c r="I62" s="113"/>
      <x:c r="J62" s="113"/>
      <x:c r="K62" s="113"/>
      <x:c r="L62" s="113"/>
      <x:c r="M62" s="113"/>
      <x:c r="N62" s="113"/>
      <x:c r="O62" s="113"/>
    </x:row>
    <x:row r="63">
      <x:c r="A63" s="113"/>
      <x:c r="B63" s="113"/>
      <x:c r="C63" s="113"/>
      <x:c r="D63" s="113"/>
      <x:c r="E63" s="113"/>
      <x:c r="F63" s="113"/>
      <x:c r="G63" s="113"/>
      <x:c r="H63" s="113"/>
      <x:c r="I63" s="113"/>
      <x:c r="J63" s="113"/>
      <x:c r="K63" s="113"/>
      <x:c r="L63" s="113"/>
      <x:c r="M63" s="113"/>
      <x:c r="N63" s="113"/>
      <x:c r="O63" s="113"/>
    </x:row>
    <x:row r="64">
      <x:c r="A64" s="113"/>
      <x:c r="B64" s="113"/>
      <x:c r="C64" s="113"/>
      <x:c r="D64" s="113"/>
      <x:c r="E64" s="113"/>
      <x:c r="F64" s="113"/>
      <x:c r="G64" s="113"/>
      <x:c r="H64" s="113"/>
      <x:c r="I64" s="113"/>
      <x:c r="J64" s="113"/>
      <x:c r="K64" s="113"/>
      <x:c r="L64" s="113"/>
      <x:c r="M64" s="113"/>
      <x:c r="N64" s="113"/>
      <x:c r="O64" s="113"/>
    </x:row>
    <x:row r="65">
      <x:c r="A65" s="113"/>
      <x:c r="B65" s="113"/>
      <x:c r="C65" s="113"/>
      <x:c r="D65" s="113"/>
      <x:c r="E65" s="113"/>
      <x:c r="F65" s="113"/>
      <x:c r="G65" s="113"/>
      <x:c r="H65" s="113"/>
      <x:c r="I65" s="113"/>
      <x:c r="J65" s="113"/>
      <x:c r="K65" s="113"/>
      <x:c r="L65" s="113"/>
      <x:c r="M65" s="113"/>
      <x:c r="N65" s="113"/>
      <x:c r="O65" s="113"/>
    </x:row>
    <x:row r="66">
      <x:c r="A66" s="113"/>
      <x:c r="B66" s="113"/>
      <x:c r="C66" s="113"/>
      <x:c r="D66" s="113"/>
      <x:c r="E66" s="113"/>
      <x:c r="F66" s="113"/>
      <x:c r="G66" s="113"/>
      <x:c r="H66" s="113"/>
      <x:c r="I66" s="113"/>
      <x:c r="J66" s="113"/>
      <x:c r="K66" s="113"/>
      <x:c r="L66" s="113"/>
      <x:c r="M66" s="113"/>
      <x:c r="N66" s="113"/>
      <x:c r="O66" s="113"/>
    </x:row>
    <x:row r="67">
      <x:c r="A67" s="113"/>
      <x:c r="B67" s="113"/>
      <x:c r="C67" s="113"/>
      <x:c r="D67" s="113"/>
      <x:c r="E67" s="113"/>
      <x:c r="F67" s="113"/>
      <x:c r="G67" s="113"/>
      <x:c r="H67" s="113"/>
      <x:c r="I67" s="113"/>
      <x:c r="J67" s="113"/>
      <x:c r="K67" s="113"/>
      <x:c r="L67" s="113"/>
      <x:c r="M67" s="113"/>
      <x:c r="N67" s="113"/>
      <x:c r="O67" s="113"/>
    </x:row>
    <x:row r="68">
      <x:c r="A68" s="113"/>
      <x:c r="B68" s="113"/>
      <x:c r="C68" s="113"/>
      <x:c r="D68" s="113"/>
      <x:c r="E68" s="113"/>
      <x:c r="F68" s="113"/>
      <x:c r="G68" s="113"/>
      <x:c r="H68" s="113"/>
      <x:c r="I68" s="113"/>
      <x:c r="J68" s="113"/>
      <x:c r="K68" s="113"/>
      <x:c r="L68" s="113"/>
      <x:c r="M68" s="113"/>
      <x:c r="N68" s="113"/>
      <x:c r="O68" s="113"/>
    </x:row>
    <x:row r="69">
      <x:c r="A69" s="113"/>
      <x:c r="B69" s="113"/>
      <x:c r="C69" s="113"/>
      <x:c r="D69" s="113"/>
      <x:c r="E69" s="113"/>
      <x:c r="F69" s="113"/>
      <x:c r="G69" s="113"/>
      <x:c r="H69" s="113"/>
      <x:c r="I69" s="113"/>
      <x:c r="J69" s="113"/>
      <x:c r="K69" s="113"/>
      <x:c r="L69" s="113"/>
      <x:c r="M69" s="113"/>
      <x:c r="N69" s="113"/>
      <x:c r="O69" s="113"/>
    </x:row>
    <x:row r="70">
      <x:c r="A70" s="113"/>
      <x:c r="B70" s="113"/>
      <x:c r="C70" s="113"/>
      <x:c r="D70" s="113"/>
      <x:c r="E70" s="113"/>
      <x:c r="F70" s="113"/>
      <x:c r="G70" s="113"/>
      <x:c r="H70" s="113"/>
      <x:c r="I70" s="113"/>
      <x:c r="J70" s="113"/>
      <x:c r="K70" s="113"/>
      <x:c r="L70" s="113"/>
      <x:c r="M70" s="113"/>
      <x:c r="N70" s="113"/>
      <x:c r="O70" s="113"/>
    </x:row>
    <x:row r="71">
      <x:c r="A71" s="113"/>
      <x:c r="B71" s="113"/>
      <x:c r="C71" s="113"/>
      <x:c r="D71" s="113"/>
      <x:c r="E71" s="113"/>
      <x:c r="F71" s="113"/>
      <x:c r="G71" s="113"/>
      <x:c r="H71" s="113"/>
      <x:c r="I71" s="113"/>
      <x:c r="J71" s="113"/>
      <x:c r="K71" s="113"/>
      <x:c r="L71" s="113"/>
      <x:c r="M71" s="113"/>
      <x:c r="N71" s="113"/>
      <x:c r="O71" s="113"/>
    </x:row>
    <x:row r="72">
      <x:c r="A72" s="113"/>
      <x:c r="B72" s="113"/>
      <x:c r="C72" s="113"/>
      <x:c r="D72" s="113"/>
      <x:c r="E72" s="113"/>
      <x:c r="F72" s="113"/>
      <x:c r="G72" s="113"/>
      <x:c r="H72" s="113"/>
      <x:c r="I72" s="113"/>
      <x:c r="J72" s="113"/>
      <x:c r="K72" s="113"/>
      <x:c r="L72" s="113"/>
      <x:c r="M72" s="113"/>
      <x:c r="N72" s="113"/>
      <x:c r="O72" s="113"/>
    </x:row>
    <x:row r="73">
      <x:c r="A73" s="113"/>
      <x:c r="B73" s="113"/>
      <x:c r="C73" s="113"/>
      <x:c r="D73" s="113"/>
      <x:c r="E73" s="113"/>
      <x:c r="F73" s="113"/>
      <x:c r="G73" s="113"/>
      <x:c r="H73" s="113"/>
      <x:c r="I73" s="113"/>
      <x:c r="J73" s="113"/>
      <x:c r="K73" s="113"/>
      <x:c r="L73" s="113"/>
      <x:c r="M73" s="113"/>
      <x:c r="N73" s="113"/>
      <x:c r="O73" s="113"/>
    </x:row>
    <x:row r="74">
      <x:c r="A74" s="113"/>
      <x:c r="B74" s="113"/>
      <x:c r="C74" s="113"/>
      <x:c r="D74" s="113"/>
      <x:c r="E74" s="113"/>
      <x:c r="F74" s="113"/>
      <x:c r="G74" s="113"/>
      <x:c r="H74" s="113"/>
      <x:c r="I74" s="113"/>
      <x:c r="J74" s="113"/>
      <x:c r="K74" s="113"/>
      <x:c r="L74" s="113"/>
      <x:c r="M74" s="113"/>
      <x:c r="N74" s="113"/>
      <x:c r="O74" s="113"/>
    </x:row>
    <x:row r="75">
      <x:c r="A75" s="113"/>
      <x:c r="B75" s="113"/>
      <x:c r="C75" s="113"/>
      <x:c r="D75" s="113"/>
      <x:c r="E75" s="113"/>
      <x:c r="F75" s="113"/>
      <x:c r="G75" s="113"/>
      <x:c r="H75" s="113"/>
      <x:c r="I75" s="113"/>
      <x:c r="J75" s="113"/>
      <x:c r="K75" s="113"/>
      <x:c r="L75" s="113"/>
      <x:c r="M75" s="113"/>
      <x:c r="N75" s="113"/>
      <x:c r="O75" s="113"/>
    </x:row>
    <x:row r="76">
      <x:c r="A76" s="113"/>
      <x:c r="B76" s="113"/>
      <x:c r="C76" s="113"/>
      <x:c r="D76" s="113"/>
      <x:c r="E76" s="113"/>
      <x:c r="F76" s="113"/>
      <x:c r="G76" s="113"/>
      <x:c r="H76" s="113"/>
      <x:c r="I76" s="113"/>
      <x:c r="J76" s="113"/>
      <x:c r="K76" s="113"/>
      <x:c r="L76" s="113"/>
      <x:c r="M76" s="113"/>
      <x:c r="N76" s="113"/>
      <x:c r="O76" s="113"/>
    </x:row>
    <x:row r="77">
      <x:c r="A77" s="113"/>
      <x:c r="B77" s="113"/>
      <x:c r="C77" s="113"/>
      <x:c r="D77" s="113"/>
      <x:c r="E77" s="113"/>
      <x:c r="F77" s="113"/>
      <x:c r="G77" s="113"/>
      <x:c r="H77" s="113"/>
      <x:c r="I77" s="113"/>
      <x:c r="J77" s="113"/>
      <x:c r="K77" s="113"/>
      <x:c r="L77" s="113"/>
      <x:c r="M77" s="113"/>
      <x:c r="N77" s="113"/>
      <x:c r="O77" s="113"/>
    </x:row>
    <x:row r="78">
      <x:c r="A78" s="113"/>
      <x:c r="B78" s="113"/>
      <x:c r="C78" s="113"/>
      <x:c r="D78" s="113"/>
      <x:c r="E78" s="113"/>
      <x:c r="F78" s="113"/>
      <x:c r="G78" s="113"/>
      <x:c r="H78" s="113"/>
      <x:c r="I78" s="113"/>
      <x:c r="J78" s="113"/>
      <x:c r="K78" s="113"/>
      <x:c r="L78" s="113"/>
      <x:c r="M78" s="113"/>
      <x:c r="N78" s="113"/>
      <x:c r="O78" s="113"/>
    </x:row>
    <x:row r="79">
      <x:c r="A79" s="113"/>
      <x:c r="B79" s="113"/>
      <x:c r="C79" s="113"/>
      <x:c r="D79" s="113"/>
      <x:c r="E79" s="113"/>
      <x:c r="F79" s="113"/>
      <x:c r="G79" s="113"/>
      <x:c r="H79" s="113"/>
      <x:c r="I79" s="113"/>
      <x:c r="J79" s="113"/>
      <x:c r="K79" s="113"/>
      <x:c r="L79" s="113"/>
      <x:c r="M79" s="113"/>
      <x:c r="N79" s="113"/>
      <x:c r="O79" s="113"/>
    </x:row>
    <x:row r="80">
      <x:c r="A80" s="113"/>
      <x:c r="B80" s="113"/>
      <x:c r="C80" s="113"/>
      <x:c r="D80" s="113"/>
      <x:c r="E80" s="113"/>
      <x:c r="F80" s="113"/>
      <x:c r="G80" s="113"/>
      <x:c r="H80" s="113"/>
      <x:c r="I80" s="113"/>
      <x:c r="J80" s="113"/>
      <x:c r="K80" s="113"/>
      <x:c r="L80" s="113"/>
      <x:c r="M80" s="113"/>
      <x:c r="N80" s="113"/>
      <x:c r="O80" s="113"/>
    </x:row>
    <x:row r="81">
      <x:c r="A81" s="113"/>
      <x:c r="B81" s="113"/>
      <x:c r="C81" s="113"/>
      <x:c r="D81" s="113"/>
      <x:c r="E81" s="113"/>
      <x:c r="F81" s="113"/>
      <x:c r="G81" s="113"/>
      <x:c r="H81" s="113"/>
      <x:c r="I81" s="113"/>
      <x:c r="J81" s="113"/>
      <x:c r="K81" s="113"/>
      <x:c r="L81" s="113"/>
      <x:c r="M81" s="113"/>
      <x:c r="N81" s="113"/>
      <x:c r="O81" s="113"/>
    </x:row>
    <x:row r="82">
      <x:c r="A82" s="113"/>
      <x:c r="B82" s="113"/>
      <x:c r="C82" s="113"/>
      <x:c r="D82" s="113"/>
      <x:c r="E82" s="113"/>
      <x:c r="F82" s="113"/>
      <x:c r="G82" s="113"/>
      <x:c r="H82" s="113"/>
      <x:c r="I82" s="113"/>
      <x:c r="J82" s="113"/>
      <x:c r="K82" s="113"/>
      <x:c r="L82" s="113"/>
      <x:c r="M82" s="113"/>
      <x:c r="N82" s="113"/>
      <x:c r="O82" s="113"/>
    </x:row>
    <x:row r="83">
      <x:c r="A83" s="113"/>
      <x:c r="B83" s="113"/>
      <x:c r="C83" s="113"/>
      <x:c r="D83" s="113"/>
      <x:c r="E83" s="113"/>
      <x:c r="F83" s="113"/>
      <x:c r="G83" s="113"/>
      <x:c r="H83" s="113"/>
      <x:c r="I83" s="113"/>
      <x:c r="J83" s="113"/>
      <x:c r="K83" s="113"/>
      <x:c r="L83" s="113"/>
      <x:c r="M83" s="113"/>
      <x:c r="N83" s="113"/>
      <x:c r="O83" s="113"/>
    </x:row>
    <x:row r="84">
      <x:c r="A84" s="113"/>
      <x:c r="B84" s="113"/>
      <x:c r="C84" s="113"/>
      <x:c r="D84" s="113"/>
      <x:c r="E84" s="113"/>
      <x:c r="F84" s="113"/>
      <x:c r="G84" s="113"/>
      <x:c r="H84" s="113"/>
      <x:c r="I84" s="113"/>
      <x:c r="J84" s="113"/>
      <x:c r="K84" s="113"/>
      <x:c r="L84" s="113"/>
      <x:c r="M84" s="113"/>
      <x:c r="N84" s="113"/>
      <x:c r="O84" s="113"/>
    </x:row>
    <x:row r="85">
      <x:c r="A85" s="113"/>
      <x:c r="B85" s="113"/>
      <x:c r="C85" s="113"/>
      <x:c r="D85" s="113"/>
      <x:c r="E85" s="113"/>
      <x:c r="F85" s="113"/>
      <x:c r="G85" s="113"/>
      <x:c r="H85" s="113"/>
      <x:c r="I85" s="113"/>
      <x:c r="J85" s="113"/>
      <x:c r="K85" s="113"/>
      <x:c r="L85" s="113"/>
      <x:c r="M85" s="113"/>
      <x:c r="N85" s="113"/>
      <x:c r="O85" s="113"/>
    </x:row>
    <x:row r="86">
      <x:c r="A86" s="113"/>
      <x:c r="B86" s="113"/>
      <x:c r="C86" s="113"/>
      <x:c r="D86" s="113"/>
      <x:c r="E86" s="113"/>
      <x:c r="F86" s="113"/>
      <x:c r="G86" s="113"/>
      <x:c r="H86" s="113"/>
      <x:c r="I86" s="113"/>
      <x:c r="J86" s="113"/>
      <x:c r="K86" s="113"/>
      <x:c r="L86" s="113"/>
      <x:c r="M86" s="113"/>
      <x:c r="N86" s="113"/>
      <x:c r="O86" s="113"/>
    </x:row>
    <x:row r="87">
      <x:c r="A87" s="113"/>
      <x:c r="B87" s="113"/>
      <x:c r="C87" s="113"/>
      <x:c r="D87" s="113"/>
      <x:c r="E87" s="113"/>
      <x:c r="F87" s="113"/>
      <x:c r="G87" s="113"/>
      <x:c r="H87" s="113"/>
      <x:c r="I87" s="113"/>
      <x:c r="J87" s="113"/>
      <x:c r="K87" s="113"/>
      <x:c r="L87" s="113"/>
      <x:c r="M87" s="113"/>
      <x:c r="N87" s="113"/>
      <x:c r="O87" s="113"/>
    </x:row>
    <x:row r="88">
      <x:c r="A88" s="113"/>
      <x:c r="B88" s="113"/>
      <x:c r="C88" s="113"/>
      <x:c r="D88" s="113"/>
      <x:c r="E88" s="113"/>
      <x:c r="F88" s="113"/>
      <x:c r="G88" s="113"/>
      <x:c r="H88" s="113"/>
      <x:c r="I88" s="113"/>
      <x:c r="J88" s="113"/>
      <x:c r="K88" s="113"/>
      <x:c r="L88" s="113"/>
      <x:c r="M88" s="113"/>
      <x:c r="N88" s="113"/>
      <x:c r="O88" s="113"/>
    </x:row>
    <x:row r="89">
      <x:c r="A89" s="113"/>
      <x:c r="B89" s="113"/>
      <x:c r="C89" s="113"/>
      <x:c r="D89" s="113"/>
      <x:c r="E89" s="113"/>
      <x:c r="F89" s="113"/>
      <x:c r="G89" s="113"/>
      <x:c r="H89" s="113"/>
      <x:c r="I89" s="113"/>
      <x:c r="J89" s="113"/>
      <x:c r="K89" s="113"/>
      <x:c r="L89" s="113"/>
      <x:c r="M89" s="113"/>
      <x:c r="N89" s="113"/>
      <x:c r="O89" s="113"/>
    </x:row>
    <x:row r="90">
      <x:c r="A90" s="113"/>
      <x:c r="B90" s="113"/>
      <x:c r="C90" s="113"/>
      <x:c r="D90" s="113"/>
      <x:c r="E90" s="113"/>
      <x:c r="F90" s="113"/>
      <x:c r="G90" s="113"/>
      <x:c r="H90" s="113"/>
      <x:c r="I90" s="113"/>
      <x:c r="J90" s="113"/>
      <x:c r="K90" s="113"/>
      <x:c r="L90" s="113"/>
      <x:c r="M90" s="113"/>
      <x:c r="N90" s="113"/>
      <x:c r="O90" s="113"/>
    </x:row>
    <x:row r="91">
      <x:c r="A91" s="113"/>
      <x:c r="B91" s="113"/>
      <x:c r="C91" s="113"/>
      <x:c r="D91" s="113"/>
      <x:c r="E91" s="113"/>
      <x:c r="F91" s="113"/>
      <x:c r="G91" s="113"/>
      <x:c r="H91" s="113"/>
      <x:c r="I91" s="113"/>
      <x:c r="J91" s="113"/>
      <x:c r="K91" s="113"/>
      <x:c r="L91" s="113"/>
      <x:c r="M91" s="113"/>
      <x:c r="N91" s="113"/>
      <x:c r="O91" s="113"/>
    </x:row>
    <x:row r="92">
      <x:c r="A92" s="113"/>
      <x:c r="B92" s="113"/>
      <x:c r="C92" s="113"/>
      <x:c r="D92" s="113"/>
      <x:c r="E92" s="113"/>
      <x:c r="F92" s="113"/>
      <x:c r="G92" s="113"/>
      <x:c r="H92" s="113"/>
      <x:c r="I92" s="113"/>
      <x:c r="J92" s="113"/>
      <x:c r="K92" s="113"/>
      <x:c r="L92" s="113"/>
      <x:c r="M92" s="113"/>
      <x:c r="N92" s="113"/>
      <x:c r="O92" s="113"/>
    </x:row>
    <x:row r="93">
      <x:c r="A93" s="113"/>
      <x:c r="B93" s="113"/>
      <x:c r="C93" s="113"/>
      <x:c r="D93" s="113"/>
      <x:c r="E93" s="113"/>
      <x:c r="F93" s="113"/>
      <x:c r="G93" s="113"/>
      <x:c r="H93" s="113"/>
      <x:c r="I93" s="113"/>
      <x:c r="J93" s="113"/>
      <x:c r="K93" s="113"/>
      <x:c r="L93" s="113"/>
      <x:c r="M93" s="113"/>
      <x:c r="N93" s="113"/>
      <x:c r="O93" s="113"/>
    </x:row>
    <x:row r="94">
      <x:c r="A94" s="113"/>
      <x:c r="B94" s="113"/>
      <x:c r="C94" s="113"/>
      <x:c r="D94" s="113"/>
      <x:c r="E94" s="113"/>
      <x:c r="F94" s="113"/>
      <x:c r="G94" s="113"/>
      <x:c r="H94" s="113"/>
      <x:c r="I94" s="113"/>
      <x:c r="J94" s="113"/>
      <x:c r="K94" s="113"/>
      <x:c r="L94" s="113"/>
      <x:c r="M94" s="113"/>
      <x:c r="N94" s="113"/>
      <x:c r="O94" s="113"/>
    </x:row>
    <x:row r="95">
      <x:c r="A95" s="113"/>
      <x:c r="B95" s="113"/>
      <x:c r="C95" s="113"/>
      <x:c r="D95" s="113"/>
      <x:c r="E95" s="113"/>
      <x:c r="F95" s="113"/>
      <x:c r="G95" s="113"/>
      <x:c r="H95" s="113"/>
      <x:c r="I95" s="113"/>
      <x:c r="J95" s="113"/>
      <x:c r="K95" s="113"/>
      <x:c r="L95" s="113"/>
      <x:c r="M95" s="113"/>
      <x:c r="N95" s="113"/>
      <x:c r="O95" s="113"/>
    </x:row>
    <x:row r="96">
      <x:c r="A96" s="113"/>
      <x:c r="B96" s="113"/>
      <x:c r="C96" s="113"/>
      <x:c r="D96" s="113"/>
      <x:c r="E96" s="113"/>
      <x:c r="F96" s="113"/>
      <x:c r="G96" s="113"/>
      <x:c r="H96" s="113"/>
      <x:c r="I96" s="113"/>
      <x:c r="J96" s="113"/>
      <x:c r="K96" s="113"/>
      <x:c r="L96" s="113"/>
      <x:c r="M96" s="113"/>
      <x:c r="N96" s="113"/>
      <x:c r="O96" s="113"/>
    </x:row>
    <x:row r="97">
      <x:c r="A97" s="113"/>
      <x:c r="B97" s="113"/>
      <x:c r="C97" s="113"/>
      <x:c r="D97" s="113"/>
      <x:c r="E97" s="113"/>
      <x:c r="F97" s="113"/>
      <x:c r="G97" s="113"/>
      <x:c r="H97" s="113"/>
      <x:c r="I97" s="113"/>
      <x:c r="J97" s="113"/>
      <x:c r="K97" s="113"/>
      <x:c r="L97" s="113"/>
      <x:c r="M97" s="113"/>
      <x:c r="N97" s="113"/>
      <x:c r="O97" s="113"/>
    </x:row>
    <x:row r="98">
      <x:c r="A98" s="113"/>
      <x:c r="B98" s="113"/>
      <x:c r="C98" s="113"/>
      <x:c r="D98" s="113"/>
      <x:c r="E98" s="113"/>
      <x:c r="F98" s="113"/>
      <x:c r="G98" s="113"/>
      <x:c r="H98" s="113"/>
      <x:c r="I98" s="113"/>
      <x:c r="J98" s="113"/>
      <x:c r="K98" s="113"/>
      <x:c r="L98" s="113"/>
      <x:c r="M98" s="113"/>
      <x:c r="N98" s="113"/>
      <x:c r="O98" s="113"/>
    </x:row>
    <x:row r="99">
      <x:c r="A99" s="113"/>
      <x:c r="B99" s="113"/>
      <x:c r="C99" s="113"/>
      <x:c r="D99" s="113"/>
      <x:c r="E99" s="113"/>
      <x:c r="F99" s="113"/>
      <x:c r="G99" s="113"/>
      <x:c r="H99" s="113"/>
      <x:c r="I99" s="113"/>
      <x:c r="J99" s="113"/>
      <x:c r="K99" s="113"/>
      <x:c r="L99" s="113"/>
      <x:c r="M99" s="113"/>
      <x:c r="N99" s="113"/>
      <x:c r="O99" s="113"/>
    </x:row>
    <x:row r="100">
      <x:c r="A100" s="113"/>
      <x:c r="B100" s="113"/>
      <x:c r="C100" s="113"/>
      <x:c r="D100" s="113"/>
      <x:c r="E100" s="113"/>
      <x:c r="F100" s="113"/>
      <x:c r="G100" s="113"/>
      <x:c r="H100" s="113"/>
      <x:c r="I100" s="113"/>
      <x:c r="J100" s="113"/>
      <x:c r="K100" s="113"/>
      <x:c r="L100" s="113"/>
      <x:c r="M100" s="113"/>
      <x:c r="N100" s="113"/>
      <x:c r="O100" s="113"/>
    </x:row>
    <x:row r="101">
      <x:c r="A101" s="113"/>
      <x:c r="B101" s="113"/>
      <x:c r="C101" s="113"/>
      <x:c r="D101" s="113"/>
      <x:c r="E101" s="113"/>
      <x:c r="F101" s="113"/>
      <x:c r="G101" s="113"/>
      <x:c r="H101" s="113"/>
      <x:c r="I101" s="113"/>
      <x:c r="J101" s="113"/>
      <x:c r="K101" s="113"/>
      <x:c r="L101" s="113"/>
      <x:c r="M101" s="113"/>
      <x:c r="N101" s="113"/>
      <x:c r="O101" s="113"/>
    </x:row>
    <x:row r="102">
      <x:c r="A102" s="113"/>
      <x:c r="B102" s="113"/>
      <x:c r="C102" s="113"/>
      <x:c r="D102" s="113"/>
      <x:c r="E102" s="113"/>
      <x:c r="F102" s="113"/>
      <x:c r="G102" s="113"/>
      <x:c r="H102" s="113"/>
      <x:c r="I102" s="113"/>
      <x:c r="J102" s="113"/>
      <x:c r="K102" s="113"/>
      <x:c r="L102" s="113"/>
      <x:c r="M102" s="113"/>
      <x:c r="N102" s="113"/>
      <x:c r="O102" s="113"/>
    </x:row>
    <x:row r="103">
      <x:c r="A103" s="113"/>
      <x:c r="B103" s="113"/>
      <x:c r="C103" s="113"/>
      <x:c r="D103" s="113"/>
      <x:c r="E103" s="113"/>
      <x:c r="F103" s="113"/>
      <x:c r="G103" s="113"/>
      <x:c r="H103" s="113"/>
      <x:c r="I103" s="113"/>
      <x:c r="J103" s="113"/>
      <x:c r="K103" s="113"/>
      <x:c r="L103" s="113"/>
      <x:c r="M103" s="113"/>
      <x:c r="N103" s="113"/>
      <x:c r="O103" s="113"/>
    </x:row>
    <x:row r="104">
      <x:c r="A104" s="113"/>
      <x:c r="B104" s="113"/>
      <x:c r="C104" s="113"/>
      <x:c r="D104" s="113"/>
      <x:c r="E104" s="113"/>
      <x:c r="F104" s="113"/>
      <x:c r="G104" s="113"/>
      <x:c r="H104" s="113"/>
      <x:c r="I104" s="113"/>
      <x:c r="J104" s="113"/>
      <x:c r="K104" s="113"/>
      <x:c r="L104" s="113"/>
      <x:c r="M104" s="113"/>
      <x:c r="N104" s="113"/>
      <x:c r="O104" s="113"/>
    </x:row>
    <x:row r="105">
      <x:c r="A105" s="113"/>
      <x:c r="B105" s="113"/>
      <x:c r="C105" s="113"/>
      <x:c r="D105" s="113"/>
      <x:c r="E105" s="113"/>
      <x:c r="F105" s="113"/>
      <x:c r="G105" s="113"/>
      <x:c r="H105" s="113"/>
      <x:c r="I105" s="113"/>
      <x:c r="J105" s="113"/>
      <x:c r="K105" s="113"/>
      <x:c r="L105" s="113"/>
      <x:c r="M105" s="113"/>
      <x:c r="N105" s="113"/>
      <x:c r="O105" s="113"/>
    </x:row>
    <x:row r="106">
      <x:c r="A106" s="113"/>
      <x:c r="B106" s="113"/>
      <x:c r="C106" s="113"/>
      <x:c r="D106" s="113"/>
      <x:c r="E106" s="113"/>
      <x:c r="F106" s="113"/>
      <x:c r="G106" s="113"/>
      <x:c r="H106" s="113"/>
      <x:c r="I106" s="113"/>
      <x:c r="J106" s="113"/>
      <x:c r="K106" s="113"/>
      <x:c r="L106" s="113"/>
      <x:c r="M106" s="113"/>
      <x:c r="N106" s="113"/>
      <x:c r="O106" s="113"/>
    </x:row>
    <x:row r="107">
      <x:c r="A107" s="113"/>
      <x:c r="B107" s="113"/>
      <x:c r="C107" s="113"/>
      <x:c r="D107" s="113"/>
      <x:c r="E107" s="113"/>
      <x:c r="F107" s="113"/>
      <x:c r="G107" s="113"/>
      <x:c r="H107" s="113"/>
      <x:c r="I107" s="113"/>
      <x:c r="J107" s="113"/>
      <x:c r="K107" s="113"/>
      <x:c r="L107" s="113"/>
      <x:c r="M107" s="113"/>
      <x:c r="N107" s="113"/>
      <x:c r="O107" s="113"/>
    </x:row>
    <x:row r="108">
      <x:c r="A108" s="113"/>
      <x:c r="B108" s="113"/>
      <x:c r="C108" s="113"/>
      <x:c r="D108" s="113"/>
      <x:c r="E108" s="113"/>
      <x:c r="F108" s="113"/>
      <x:c r="G108" s="113"/>
      <x:c r="H108" s="113"/>
      <x:c r="I108" s="113"/>
      <x:c r="J108" s="113"/>
      <x:c r="K108" s="113"/>
      <x:c r="L108" s="113"/>
      <x:c r="M108" s="113"/>
      <x:c r="N108" s="113"/>
      <x:c r="O108" s="113"/>
    </x:row>
    <x:row r="109">
      <x:c r="A109" s="113"/>
      <x:c r="B109" s="113"/>
      <x:c r="C109" s="113"/>
      <x:c r="D109" s="113"/>
      <x:c r="E109" s="113"/>
      <x:c r="F109" s="113"/>
      <x:c r="G109" s="113"/>
      <x:c r="H109" s="113"/>
      <x:c r="I109" s="113"/>
      <x:c r="J109" s="113"/>
      <x:c r="K109" s="113"/>
      <x:c r="L109" s="113"/>
      <x:c r="M109" s="113"/>
      <x:c r="N109" s="113"/>
      <x:c r="O109" s="113"/>
    </x:row>
    <x:row r="110">
      <x:c r="A110" s="113"/>
      <x:c r="B110" s="113"/>
      <x:c r="C110" s="113"/>
      <x:c r="D110" s="113"/>
      <x:c r="E110" s="113"/>
      <x:c r="F110" s="113"/>
      <x:c r="G110" s="113"/>
      <x:c r="H110" s="113"/>
      <x:c r="I110" s="113"/>
      <x:c r="J110" s="113"/>
      <x:c r="K110" s="113"/>
      <x:c r="L110" s="113"/>
      <x:c r="M110" s="113"/>
      <x:c r="N110" s="113"/>
      <x:c r="O110" s="113"/>
    </x:row>
    <x:row r="111">
      <x:c r="A111" s="113"/>
      <x:c r="B111" s="113"/>
      <x:c r="C111" s="113"/>
      <x:c r="D111" s="113"/>
      <x:c r="E111" s="113"/>
      <x:c r="F111" s="113"/>
      <x:c r="G111" s="113"/>
      <x:c r="H111" s="113"/>
      <x:c r="I111" s="113"/>
      <x:c r="J111" s="113"/>
      <x:c r="K111" s="113"/>
      <x:c r="L111" s="113"/>
      <x:c r="M111" s="113"/>
      <x:c r="N111" s="113"/>
      <x:c r="O111" s="113"/>
    </x:row>
    <x:row r="112">
      <x:c r="A112" s="113"/>
      <x:c r="B112" s="113"/>
      <x:c r="C112" s="113"/>
      <x:c r="D112" s="113"/>
      <x:c r="E112" s="113"/>
      <x:c r="F112" s="113"/>
      <x:c r="G112" s="113"/>
      <x:c r="H112" s="113"/>
      <x:c r="I112" s="113"/>
      <x:c r="J112" s="113"/>
      <x:c r="K112" s="113"/>
      <x:c r="L112" s="113"/>
      <x:c r="M112" s="113"/>
      <x:c r="N112" s="113"/>
      <x:c r="O112" s="113"/>
    </x:row>
    <x:row r="113">
      <x:c r="A113" s="113"/>
      <x:c r="B113" s="113"/>
      <x:c r="C113" s="113"/>
      <x:c r="D113" s="113"/>
      <x:c r="E113" s="113"/>
      <x:c r="F113" s="113"/>
      <x:c r="G113" s="113"/>
      <x:c r="H113" s="113"/>
      <x:c r="I113" s="113"/>
      <x:c r="J113" s="113"/>
      <x:c r="K113" s="113"/>
      <x:c r="L113" s="113"/>
      <x:c r="M113" s="113"/>
      <x:c r="N113" s="113"/>
      <x:c r="O113" s="113"/>
    </x:row>
    <x:row r="114">
      <x:c r="A114" s="113"/>
      <x:c r="B114" s="113"/>
      <x:c r="C114" s="113"/>
      <x:c r="D114" s="113"/>
      <x:c r="E114" s="113"/>
      <x:c r="F114" s="113"/>
      <x:c r="G114" s="113"/>
      <x:c r="H114" s="113"/>
      <x:c r="I114" s="113"/>
      <x:c r="J114" s="113"/>
      <x:c r="K114" s="113"/>
      <x:c r="L114" s="113"/>
      <x:c r="M114" s="113"/>
      <x:c r="N114" s="113"/>
      <x:c r="O114" s="113"/>
    </x:row>
    <x:row r="115">
      <x:c r="A115" s="113"/>
      <x:c r="B115" s="113"/>
      <x:c r="C115" s="113"/>
      <x:c r="D115" s="113"/>
      <x:c r="E115" s="113"/>
      <x:c r="F115" s="113"/>
      <x:c r="G115" s="113"/>
      <x:c r="H115" s="113"/>
      <x:c r="I115" s="113"/>
      <x:c r="J115" s="113"/>
      <x:c r="K115" s="113"/>
      <x:c r="L115" s="113"/>
      <x:c r="M115" s="113"/>
      <x:c r="N115" s="113"/>
      <x:c r="O115" s="113"/>
    </x:row>
    <x:row r="116">
      <x:c r="A116" s="113"/>
      <x:c r="B116" s="113"/>
      <x:c r="C116" s="113"/>
      <x:c r="D116" s="113"/>
      <x:c r="E116" s="113"/>
      <x:c r="F116" s="113"/>
      <x:c r="G116" s="113"/>
      <x:c r="H116" s="113"/>
      <x:c r="I116" s="113"/>
      <x:c r="J116" s="113"/>
      <x:c r="K116" s="113"/>
      <x:c r="L116" s="113"/>
      <x:c r="M116" s="113"/>
      <x:c r="N116" s="113"/>
      <x:c r="O116" s="113"/>
    </x:row>
    <x:row r="117">
      <x:c r="A117" s="113"/>
      <x:c r="B117" s="113"/>
      <x:c r="C117" s="113"/>
      <x:c r="D117" s="113"/>
      <x:c r="E117" s="113"/>
      <x:c r="F117" s="113"/>
      <x:c r="G117" s="113"/>
      <x:c r="H117" s="113"/>
      <x:c r="I117" s="113"/>
      <x:c r="J117" s="113"/>
      <x:c r="K117" s="113"/>
      <x:c r="L117" s="113"/>
      <x:c r="M117" s="113"/>
      <x:c r="N117" s="113"/>
      <x:c r="O117" s="113"/>
    </x:row>
    <x:row r="118">
      <x:c r="A118" s="113"/>
      <x:c r="B118" s="113"/>
      <x:c r="C118" s="113"/>
      <x:c r="D118" s="113"/>
      <x:c r="E118" s="113"/>
      <x:c r="F118" s="113"/>
      <x:c r="G118" s="113"/>
      <x:c r="H118" s="113"/>
      <x:c r="I118" s="113"/>
      <x:c r="J118" s="113"/>
      <x:c r="K118" s="113"/>
      <x:c r="L118" s="113"/>
      <x:c r="M118" s="113"/>
      <x:c r="N118" s="113"/>
      <x:c r="O118" s="113"/>
    </x:row>
    <x:row r="119">
      <x:c r="A119" s="113"/>
      <x:c r="B119" s="113"/>
      <x:c r="C119" s="113"/>
      <x:c r="D119" s="113"/>
      <x:c r="E119" s="113"/>
      <x:c r="F119" s="113"/>
      <x:c r="G119" s="113"/>
      <x:c r="H119" s="113"/>
      <x:c r="I119" s="113"/>
      <x:c r="J119" s="113"/>
      <x:c r="K119" s="113"/>
      <x:c r="L119" s="113"/>
      <x:c r="M119" s="113"/>
      <x:c r="N119" s="113"/>
      <x:c r="O119" s="113"/>
    </x:row>
    <x:row r="120">
      <x:c r="A120" s="113"/>
      <x:c r="B120" s="113"/>
      <x:c r="C120" s="113"/>
      <x:c r="D120" s="113"/>
      <x:c r="E120" s="113"/>
      <x:c r="F120" s="113"/>
      <x:c r="G120" s="113"/>
      <x:c r="H120" s="113"/>
      <x:c r="I120" s="113"/>
      <x:c r="J120" s="113"/>
      <x:c r="K120" s="113"/>
      <x:c r="L120" s="113"/>
      <x:c r="M120" s="113"/>
      <x:c r="N120" s="113"/>
      <x:c r="O120" s="113"/>
    </x:row>
  </x:sheetData>
  <x:mergeCells>
    <x:mergeCell ref="A1:L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30" hidden="0" customWidth="1"/>
    <x:col min="5" max="5" width="22" hidden="0" customWidth="1"/>
    <x:col min="6" max="6" width="18" hidden="0" customWidth="1"/>
    <x:col min="7" max="7" width="20" hidden="0" customWidth="1"/>
    <x:col min="8" max="8" width="32" hidden="0" customWidth="1"/>
    <x:col min="9" max="9" width="22" hidden="0" customWidth="1"/>
    <x:col min="10" max="10" width="22" hidden="0" customWidth="1"/>
    <x:col min="11" max="11" width="22" hidden="0" customWidth="1"/>
    <x:col min="12" max="12" width="30" hidden="0" customWidth="1"/>
  </x:cols>
  <x:sheetData>
    <x:row r="1" ht="28" customHeight="1">
      <x:c r="A1" s="77" t="str">
        <x:v>核心数据库表与用途目录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113"/>
      <x:c r="N1" s="113"/>
      <x:c r="O1" s="113"/>
    </x:row>
    <x:row r="2">
      <x:c r="A2" s="113"/>
      <x:c r="B2" s="113"/>
      <x:c r="C2" s="113"/>
      <x:c r="D2" s="113"/>
      <x:c r="E2" s="113"/>
      <x:c r="F2" s="113"/>
      <x:c r="G2" s="113"/>
      <x:c r="H2" s="113"/>
      <x:c r="I2" s="113"/>
      <x:c r="J2" s="113"/>
      <x:c r="K2" s="113"/>
      <x:c r="L2" s="113"/>
      <x:c r="M2" s="113"/>
      <x:c r="N2" s="113"/>
      <x:c r="O2" s="113"/>
    </x:row>
    <x:row r="3">
      <x:c r="A3" s="113"/>
      <x:c r="B3" s="113"/>
      <x:c r="C3" s="113"/>
      <x:c r="D3" s="113"/>
      <x:c r="E3" s="113"/>
      <x:c r="F3" s="113"/>
      <x:c r="G3" s="113"/>
      <x:c r="H3" s="113"/>
      <x:c r="I3" s="113"/>
      <x:c r="J3" s="113"/>
      <x:c r="K3" s="113"/>
      <x:c r="L3" s="113"/>
      <x:c r="M3" s="113"/>
      <x:c r="N3" s="113"/>
      <x:c r="O3" s="113"/>
    </x:row>
    <x:row r="4">
      <x:c r="A4" s="80" t="str">
        <x:v>Schema</x:v>
      </x:c>
      <x:c r="B4" s="81" t="str">
        <x:v>表名</x:v>
      </x:c>
      <x:c r="C4" s="81" t="str">
        <x:v>业务域</x:v>
      </x:c>
      <x:c r="D4" s="81" t="str">
        <x:v>用途</x:v>
      </x:c>
      <x:c r="E4" s="81" t="str">
        <x:v>主键</x:v>
      </x:c>
      <x:c r="F4" s="81" t="str">
        <x:v>分区/保留</x:v>
      </x:c>
      <x:c r="G4" s="81" t="str">
        <x:v>高敏字段</x:v>
      </x:c>
      <x:c r="H4" s="81" t="str">
        <x:v>关键索引/约束</x:v>
      </x:c>
      <x:c r="I4" s="81" t="str">
        <x:v>写入来源</x:v>
      </x:c>
      <x:c r="J4" s="81" t="str">
        <x:v>主要消费者</x:v>
      </x:c>
      <x:c r="K4" s="81" t="str">
        <x:v>Owner</x:v>
      </x:c>
      <x:c r="L4" s="82" t="str">
        <x:v>备注</x:v>
      </x:c>
      <x:c r="M4" s="113"/>
      <x:c r="N4" s="113"/>
      <x:c r="O4" s="113"/>
    </x:row>
    <x:row r="5">
      <x:c r="A5" s="115" t="str">
        <x:v>mdm</x:v>
      </x:c>
      <x:c r="B5" s="116" t="str">
        <x:v>patient</x:v>
      </x:c>
      <x:c r="C5" s="116" t="str">
        <x:v>患者</x:v>
      </x:c>
      <x:c r="D5" s="116" t="str">
        <x:v>患者金记录</x:v>
      </x:c>
      <x:c r="E5" s="116" t="str">
        <x:v>patient_mdm_id</x:v>
      </x:c>
      <x:c r="F5" s="116" t="str">
        <x:v>版本表长期</x:v>
      </x:c>
      <x:c r="G5" s="116" t="str">
        <x:v>姓名、人口学；标识分表</x:v>
      </x:c>
      <x:c r="H5" s="116" t="str">
        <x:v>empi_no唯一；状态+生日</x:v>
      </x:c>
      <x:c r="I5" s="116" t="str">
        <x:v>MDM合并服务</x:v>
      </x:c>
      <x:c r="J5" s="116" t="str">
        <x:v>HIS/EMR/CDR/FHIR</x:v>
      </x:c>
      <x:c r="K5" s="116" t="str">
        <x:v>医务/门诊</x:v>
      </x:c>
      <x:c r="L5" s="119" t="str">
        <x:v>不存证件明文</x:v>
      </x:c>
      <x:c r="M5" s="113"/>
      <x:c r="N5" s="113"/>
      <x:c r="O5" s="113"/>
    </x:row>
    <x:row r="6">
      <x:c r="A6" s="115" t="str">
        <x:v>mdm</x:v>
      </x:c>
      <x:c r="B6" s="116" t="str">
        <x:v>patient_identifier</x:v>
      </x:c>
      <x:c r="C6" s="116" t="str">
        <x:v>患者</x:v>
      </x:c>
      <x:c r="D6" s="116" t="str">
        <x:v>多证件/医保/卡号</x:v>
      </x:c>
      <x:c r="E6" s="116" t="str">
        <x:v>patient_identifier_id</x:v>
      </x:c>
      <x:c r="F6" s="116" t="str">
        <x:v>按有效期</x:v>
      </x:c>
      <x:c r="G6" s="116" t="str">
        <x:v>证件密文/哈希</x:v>
      </x:c>
      <x:c r="H6" s="116" t="str">
        <x:v>类型+hash+issuer唯一</x:v>
      </x:c>
      <x:c r="I6" s="116" t="str">
        <x:v>注册/EMPI</x:v>
      </x:c>
      <x:c r="J6" s="116" t="str">
        <x:v>匹配与审计</x:v>
      </x:c>
      <x:c r="K6" s="116" t="str">
        <x:v>医务/门诊</x:v>
      </x:c>
      <x:c r="L6" s="119" t="str">
        <x:v>密钥由KMS托管</x:v>
      </x:c>
      <x:c r="M6" s="113"/>
      <x:c r="N6" s="113"/>
      <x:c r="O6" s="113"/>
    </x:row>
    <x:row r="7">
      <x:c r="A7" s="115" t="str">
        <x:v>mdm</x:v>
      </x:c>
      <x:c r="B7" s="116" t="str">
        <x:v>patient_xref</x:v>
      </x:c>
      <x:c r="C7" s="116" t="str">
        <x:v>患者</x:v>
      </x:c>
      <x:c r="D7" s="116" t="str">
        <x:v>来源交叉索引</x:v>
      </x:c>
      <x:c r="E7" s="116" t="str">
        <x:v>patient_xref_id</x:v>
      </x:c>
      <x:c r="F7" s="116" t="str">
        <x:v>长期</x:v>
      </x:c>
      <x:c r="G7" s="116" t="str">
        <x:v>来源快照可能敏感</x:v>
      </x:c>
      <x:c r="H7" s="116" t="str">
        <x:v>source_system+source_key唯一</x:v>
      </x:c>
      <x:c r="I7" s="116" t="str">
        <x:v>各业务系统</x:v>
      </x:c>
      <x:c r="J7" s="116" t="str">
        <x:v>主索引查询</x:v>
      </x:c>
      <x:c r="K7" s="116" t="str">
        <x:v>信息中心</x:v>
      </x:c>
      <x:c r="L7" s="119" t="str">
        <x:v>保留来源可追溯</x:v>
      </x:c>
      <x:c r="M7" s="113"/>
      <x:c r="N7" s="113"/>
      <x:c r="O7" s="113"/>
    </x:row>
    <x:row r="8">
      <x:c r="A8" s="115" t="str">
        <x:v>mdm</x:v>
      </x:c>
      <x:c r="B8" s="116" t="str">
        <x:v>patient_link</x:v>
      </x:c>
      <x:c r="C8" s="116" t="str">
        <x:v>患者</x:v>
      </x:c>
      <x:c r="D8" s="116" t="str">
        <x:v>合并/替换/疑似重复</x:v>
      </x:c>
      <x:c r="E8" s="116" t="str">
        <x:v>patient_link_id</x:v>
      </x:c>
      <x:c r="F8" s="116" t="str">
        <x:v>永久</x:v>
      </x:c>
      <x:c r="G8" s="116" t="str">
        <x:v>关联患者ID</x:v>
      </x:c>
      <x:c r="H8" s="116" t="str">
        <x:v>源/目标不相同</x:v>
      </x:c>
      <x:c r="I8" s="116" t="str">
        <x:v>人工仲裁</x:v>
      </x:c>
      <x:c r="J8" s="116" t="str">
        <x:v>回滚与下游</x:v>
      </x:c>
      <x:c r="K8" s="116" t="str">
        <x:v>医务/病案</x:v>
      </x:c>
      <x:c r="L8" s="119" t="str">
        <x:v>四眼原则</x:v>
      </x:c>
      <x:c r="M8" s="113"/>
      <x:c r="N8" s="113"/>
      <x:c r="O8" s="113"/>
    </x:row>
    <x:row r="9">
      <x:c r="A9" s="115" t="str">
        <x:v>mdm</x:v>
      </x:c>
      <x:c r="B9" s="116" t="str">
        <x:v>organization</x:v>
      </x:c>
      <x:c r="C9" s="116" t="str">
        <x:v>组织</x:v>
      </x:c>
      <x:c r="D9" s="116" t="str">
        <x:v>医院/院区/科室/病区</x:v>
      </x:c>
      <x:c r="E9" s="116" t="str">
        <x:v>organization_mdm_id</x:v>
      </x:c>
      <x:c r="F9" s="116" t="str">
        <x:v>双时态</x:v>
      </x:c>
      <x:c r="G9" s="116" t="str">
        <x:v>低敏</x:v>
      </x:c>
      <x:c r="H9" s="116" t="str">
        <x:v>org_code唯一；parent索引</x:v>
      </x:c>
      <x:c r="I9" s="116" t="str">
        <x:v>人资/治理流程</x:v>
      </x:c>
      <x:c r="J9" s="116" t="str">
        <x:v>全院系统</x:v>
      </x:c>
      <x:c r="K9" s="116" t="str">
        <x:v>组织人事/医务</x:v>
      </x:c>
      <x:c r="L9" s="119" t="str">
        <x:v>不得物理删除</x:v>
      </x:c>
      <x:c r="M9" s="113"/>
      <x:c r="N9" s="113"/>
      <x:c r="O9" s="113"/>
    </x:row>
    <x:row r="10">
      <x:c r="A10" s="115" t="str">
        <x:v>mdm</x:v>
      </x:c>
      <x:c r="B10" s="116" t="str">
        <x:v>location</x:v>
      </x:c>
      <x:c r="C10" s="116" t="str">
        <x:v>资源</x:v>
      </x:c>
      <x:c r="D10" s="116" t="str">
        <x:v>楼宇/房间/床位/仓位</x:v>
      </x:c>
      <x:c r="E10" s="116" t="str">
        <x:v>location_mdm_id</x:v>
      </x:c>
      <x:c r="F10" s="116" t="str">
        <x:v>双时态</x:v>
      </x:c>
      <x:c r="G10" s="116" t="str">
        <x:v>低敏</x:v>
      </x:c>
      <x:c r="H10" s="116" t="str">
        <x:v>location_code唯一</x:v>
      </x:c>
      <x:c r="I10" s="116" t="str">
        <x:v>后勤/护理/医务</x:v>
      </x:c>
      <x:c r="J10" s="116" t="str">
        <x:v>床位/设备/运营</x:v>
      </x:c>
      <x:c r="K10" s="116" t="str">
        <x:v>护理/后勤</x:v>
      </x:c>
      <x:c r="L10" s="119" t="str">
        <x:v>区分编制、开放、物理床</x:v>
      </x:c>
      <x:c r="M10" s="113"/>
      <x:c r="N10" s="113"/>
      <x:c r="O10" s="113"/>
    </x:row>
    <x:row r="11">
      <x:c r="A11" s="115" t="str">
        <x:v>mdm</x:v>
      </x:c>
      <x:c r="B11" s="116" t="str">
        <x:v>practitioner</x:v>
      </x:c>
      <x:c r="C11" s="116" t="str">
        <x:v>人员</x:v>
      </x:c>
      <x:c r="D11" s="116" t="str">
        <x:v>医护技药行政主记录</x:v>
      </x:c>
      <x:c r="E11" s="116" t="str">
        <x:v>practitioner_mdm_id</x:v>
      </x:c>
      <x:c r="F11" s="116" t="str">
        <x:v>双时态</x:v>
      </x:c>
      <x:c r="G11" s="116" t="str">
        <x:v>证照/身份</x:v>
      </x:c>
      <x:c r="H11" s="116" t="str">
        <x:v>staff_master_no唯一</x:v>
      </x:c>
      <x:c r="I11" s="116" t="str">
        <x:v>人资</x:v>
      </x:c>
      <x:c r="J11" s="116" t="str">
        <x:v>权限/医嘱/排班</x:v>
      </x:c>
      <x:c r="K11" s="116" t="str">
        <x:v>组织人事</x:v>
      </x:c>
      <x:c r="L11" s="119" t="str">
        <x:v>人员与角色分离</x:v>
      </x:c>
      <x:c r="M11" s="113"/>
      <x:c r="N11" s="113"/>
      <x:c r="O11" s="113"/>
    </x:row>
    <x:row r="12">
      <x:c r="A12" s="115" t="str">
        <x:v>mdm</x:v>
      </x:c>
      <x:c r="B12" s="116" t="str">
        <x:v>practitioner_role</x:v>
      </x:c>
      <x:c r="C12" s="116" t="str">
        <x:v>人员</x:v>
      </x:c>
      <x:c r="D12" s="116" t="str">
        <x:v>人员-组织-角色有效期</x:v>
      </x:c>
      <x:c r="E12" s="116" t="str">
        <x:v>practitioner_role_id</x:v>
      </x:c>
      <x:c r="F12" s="116" t="str">
        <x:v>双时态</x:v>
      </x:c>
      <x:c r="G12" s="116" t="str">
        <x:v>权限范围</x:v>
      </x:c>
      <x:c r="H12" s="116" t="str">
        <x:v>人员+组织+角色+有效期</x:v>
      </x:c>
      <x:c r="I12" s="116" t="str">
        <x:v>人资/医务/护理</x:v>
      </x:c>
      <x:c r="J12" s="116" t="str">
        <x:v>IAM/EMR/HIS</x:v>
      </x:c>
      <x:c r="K12" s="116" t="str">
        <x:v>人资/医务</x:v>
      </x:c>
      <x:c r="L12" s="119" t="str">
        <x:v>支持多岗多点</x:v>
      </x:c>
      <x:c r="M12" s="113"/>
      <x:c r="N12" s="113"/>
      <x:c r="O12" s="113"/>
    </x:row>
    <x:row r="13">
      <x:c r="A13" s="115" t="str">
        <x:v>mdm</x:v>
      </x:c>
      <x:c r="B13" s="116" t="str">
        <x:v>medication</x:v>
      </x:c>
      <x:c r="C13" s="116" t="str">
        <x:v>药品</x:v>
      </x:c>
      <x:c r="D13" s="116" t="str">
        <x:v>药品主目录</x:v>
      </x:c>
      <x:c r="E13" s="116" t="str">
        <x:v>medication_mdm_id</x:v>
      </x:c>
      <x:c r="F13" s="116" t="str">
        <x:v>版本长期</x:v>
      </x:c>
      <x:c r="G13" s="116" t="str">
        <x:v>低敏</x:v>
      </x:c>
      <x:c r="H13" s="116" t="str">
        <x:v>企业码/国家码索引</x:v>
      </x:c>
      <x:c r="I13" s="116" t="str">
        <x:v>药学/HIS</x:v>
      </x:c>
      <x:c r="J13" s="116" t="str">
        <x:v>处方/医保/SPD</x:v>
      </x:c>
      <x:c r="K13" s="116" t="str">
        <x:v>药学部</x:v>
      </x:c>
      <x:c r="L13" s="119" t="str">
        <x:v>规格包装字段级权威</x:v>
      </x:c>
      <x:c r="M13" s="113"/>
      <x:c r="N13" s="113"/>
      <x:c r="O13" s="113"/>
    </x:row>
    <x:row r="14">
      <x:c r="A14" s="115" t="str">
        <x:v>mdm</x:v>
      </x:c>
      <x:c r="B14" s="116" t="str">
        <x:v>material</x:v>
      </x:c>
      <x:c r="C14" s="116" t="str">
        <x:v>耗材</x:v>
      </x:c>
      <x:c r="D14" s="116" t="str">
        <x:v>耗材与UDI</x:v>
      </x:c>
      <x:c r="E14" s="116" t="str">
        <x:v>material_mdm_id</x:v>
      </x:c>
      <x:c r="F14" s="116" t="str">
        <x:v>版本长期</x:v>
      </x:c>
      <x:c r="G14" s="116" t="str">
        <x:v>低敏</x:v>
      </x:c>
      <x:c r="H14" s="116" t="str">
        <x:v>企业码/UDI索引</x:v>
      </x:c>
      <x:c r="I14" s="116" t="str">
        <x:v>SPD/设备</x:v>
      </x:c>
      <x:c r="J14" s="116" t="str">
        <x:v>手术/财务/追溯</x:v>
      </x:c>
      <x:c r="K14" s="116" t="str">
        <x:v>设备/供应链</x:v>
      </x:c>
      <x:c r="L14" s="119" t="str">
        <x:v>高值低值分域</x:v>
      </x:c>
      <x:c r="M14" s="113"/>
      <x:c r="N14" s="113"/>
      <x:c r="O14" s="113"/>
    </x:row>
    <x:row r="15">
      <x:c r="A15" s="115" t="str">
        <x:v>mdm</x:v>
      </x:c>
      <x:c r="B15" s="116" t="str">
        <x:v>device</x:v>
      </x:c>
      <x:c r="C15" s="116" t="str">
        <x:v>设备</x:v>
      </x:c>
      <x:c r="D15" s="116" t="str">
        <x:v>设备实例与位置</x:v>
      </x:c>
      <x:c r="E15" s="116" t="str">
        <x:v>device_mdm_id</x:v>
      </x:c>
      <x:c r="F15" s="116" t="str">
        <x:v>全寿命</x:v>
      </x:c>
      <x:c r="G15" s="116" t="str">
        <x:v>序列号</x:v>
      </x:c>
      <x:c r="H15" s="116" t="str">
        <x:v>设备码/UDI/位置</x:v>
      </x:c>
      <x:c r="I15" s="116" t="str">
        <x:v>设备系统</x:v>
      </x:c>
      <x:c r="J15" s="116" t="str">
        <x:v>PACS/手术/运维</x:v>
      </x:c>
      <x:c r="K15" s="116" t="str">
        <x:v>设备处</x:v>
      </x:c>
      <x:c r="L15" s="119" t="str">
        <x:v>实例与目录分离</x:v>
      </x:c>
      <x:c r="M15" s="113"/>
      <x:c r="N15" s="113"/>
      <x:c r="O15" s="113"/>
    </x:row>
    <x:row r="16">
      <x:c r="A16" s="115" t="str">
        <x:v>mdm</x:v>
      </x:c>
      <x:c r="B16" s="116" t="str">
        <x:v>supplier</x:v>
      </x:c>
      <x:c r="C16" s="116" t="str">
        <x:v>供应商</x:v>
      </x:c>
      <x:c r="D16" s="116" t="str">
        <x:v>供应商与资质状态</x:v>
      </x:c>
      <x:c r="E16" s="116" t="str">
        <x:v>supplier_mdm_id</x:v>
      </x:c>
      <x:c r="F16" s="116" t="str">
        <x:v>全寿命</x:v>
      </x:c>
      <x:c r="G16" s="116" t="str">
        <x:v>信用代码</x:v>
      </x:c>
      <x:c r="H16" s="116" t="str">
        <x:v>供应商码/信用hash</x:v>
      </x:c>
      <x:c r="I16" s="116" t="str">
        <x:v>采购/财务</x:v>
      </x:c>
      <x:c r="J16" s="116" t="str">
        <x:v>合同/付款/SPD</x:v>
      </x:c>
      <x:c r="K16" s="116" t="str">
        <x:v>采购/财务</x:v>
      </x:c>
      <x:c r="L16" s="119" t="str">
        <x:v>资质到期告警</x:v>
      </x:c>
      <x:c r="M16" s="113"/>
      <x:c r="N16" s="113"/>
      <x:c r="O16" s="113"/>
    </x:row>
    <x:row r="17">
      <x:c r="A17" s="115" t="str">
        <x:v>mdm</x:v>
      </x:c>
      <x:c r="B17" s="116" t="str">
        <x:v>service_item</x:v>
      </x:c>
      <x:c r="C17" s="116" t="str">
        <x:v>诊疗项目</x:v>
      </x:c>
      <x:c r="D17" s="116" t="str">
        <x:v>检查检验治疗收费映射</x:v>
      </x:c>
      <x:c r="E17" s="116" t="str">
        <x:v>service_item_mdm_id</x:v>
      </x:c>
      <x:c r="F17" s="116" t="str">
        <x:v>版本长期</x:v>
      </x:c>
      <x:c r="G17" s="116" t="str">
        <x:v>低敏</x:v>
      </x:c>
      <x:c r="H17" s="116" t="str">
        <x:v>企业码/医保码/物价码</x:v>
      </x:c>
      <x:c r="I17" s="116" t="str">
        <x:v>医务/物价/医技</x:v>
      </x:c>
      <x:c r="J17" s="116" t="str">
        <x:v>HIS/LIS/RIS/医保</x:v>
      </x:c>
      <x:c r="K17" s="116" t="str">
        <x:v>医务/财务</x:v>
      </x:c>
      <x:c r="L17" s="119" t="str">
        <x:v>不把结果数据当主数据</x:v>
      </x:c>
      <x:c r="M17" s="113"/>
      <x:c r="N17" s="113"/>
      <x:c r="O17" s="113"/>
    </x:row>
    <x:row r="18">
      <x:c r="A18" s="115" t="str">
        <x:v>ref</x:v>
      </x:c>
      <x:c r="B18" s="116" t="str">
        <x:v>code_system</x:v>
      </x:c>
      <x:c r="C18" s="116" t="str">
        <x:v>标准</x:v>
      </x:c>
      <x:c r="D18" s="116" t="str">
        <x:v>编码体系与版本</x:v>
      </x:c>
      <x:c r="E18" s="116" t="str">
        <x:v>code_system_id</x:v>
      </x:c>
      <x:c r="F18" s="116" t="str">
        <x:v>永久</x:v>
      </x:c>
      <x:c r="G18" s="116" t="str">
        <x:v>无</x:v>
      </x:c>
      <x:c r="H18" s="116" t="str">
        <x:v>URI+版本唯一</x:v>
      </x:c>
      <x:c r="I18" s="116" t="str">
        <x:v>标准管理员</x:v>
      </x:c>
      <x:c r="J18" s="116" t="str">
        <x:v>全域</x:v>
      </x:c>
      <x:c r="K18" s="116" t="str">
        <x:v>标准规范组</x:v>
      </x:c>
      <x:c r="L18" s="119" t="str">
        <x:v>记录授权说明</x:v>
      </x:c>
      <x:c r="M18" s="113"/>
      <x:c r="N18" s="113"/>
      <x:c r="O18" s="113"/>
    </x:row>
    <x:row r="19">
      <x:c r="A19" s="115" t="str">
        <x:v>ref</x:v>
      </x:c>
      <x:c r="B19" s="116" t="str">
        <x:v>concept</x:v>
      </x:c>
      <x:c r="C19" s="116" t="str">
        <x:v>标准</x:v>
      </x:c>
      <x:c r="D19" s="116" t="str">
        <x:v>术语概念</x:v>
      </x:c>
      <x:c r="E19" s="116" t="str">
        <x:v>concept_id</x:v>
      </x:c>
      <x:c r="F19" s="116" t="str">
        <x:v>版本长期</x:v>
      </x:c>
      <x:c r="G19" s="116" t="str">
        <x:v>无</x:v>
      </x:c>
      <x:c r="H19" s="116" t="str">
        <x:v>体系+code唯一</x:v>
      </x:c>
      <x:c r="I19" s="116" t="str">
        <x:v>标准包导入</x:v>
      </x:c>
      <x:c r="J19" s="116" t="str">
        <x:v>标准查询</x:v>
      </x:c>
      <x:c r="K19" s="116" t="str">
        <x:v>标准规范组</x:v>
      </x:c>
      <x:c r="L19" s="119" t="str">
        <x:v>历史版本不覆盖</x:v>
      </x:c>
      <x:c r="M19" s="113"/>
      <x:c r="N19" s="113"/>
      <x:c r="O19" s="113"/>
    </x:row>
    <x:row r="20">
      <x:c r="A20" s="115" t="str">
        <x:v>ref</x:v>
      </x:c>
      <x:c r="B20" s="116" t="str">
        <x:v>value_set</x:v>
      </x:c>
      <x:c r="C20" s="116" t="str">
        <x:v>标准</x:v>
      </x:c>
      <x:c r="D20" s="116" t="str">
        <x:v>值域定义</x:v>
      </x:c>
      <x:c r="E20" s="116" t="str">
        <x:v>value_set_id</x:v>
      </x:c>
      <x:c r="F20" s="116" t="str">
        <x:v>版本长期</x:v>
      </x:c>
      <x:c r="G20" s="116" t="str">
        <x:v>无</x:v>
      </x:c>
      <x:c r="H20" s="116" t="str">
        <x:v>canonical+version唯一</x:v>
      </x:c>
      <x:c r="I20" s="116" t="str">
        <x:v>治理流程</x:v>
      </x:c>
      <x:c r="J20" s="116" t="str">
        <x:v>业务系统</x:v>
      </x:c>
      <x:c r="K20" s="116" t="str">
        <x:v>域Owner</x:v>
      </x:c>
      <x:c r="L20" s="119" t="str">
        <x:v>发布包带checksum</x:v>
      </x:c>
      <x:c r="M20" s="113"/>
      <x:c r="N20" s="113"/>
      <x:c r="O20" s="113"/>
    </x:row>
    <x:row r="21">
      <x:c r="A21" s="115" t="str">
        <x:v>ref</x:v>
      </x:c>
      <x:c r="B21" s="116" t="str">
        <x:v>concept_map_element</x:v>
      </x:c>
      <x:c r="C21" s="116" t="str">
        <x:v>标准</x:v>
      </x:c>
      <x:c r="D21" s="116" t="str">
        <x:v>本地码到标准码映射</x:v>
      </x:c>
      <x:c r="E21" s="116" t="str">
        <x:v>map_element_id</x:v>
      </x:c>
      <x:c r="F21" s="116" t="str">
        <x:v>版本长期</x:v>
      </x:c>
      <x:c r="G21" s="116" t="str">
        <x:v>无</x:v>
      </x:c>
      <x:c r="H21" s="116" t="str">
        <x:v>映射+源/目标/上下文</x:v>
      </x:c>
      <x:c r="I21" s="116" t="str">
        <x:v>Steward</x:v>
      </x:c>
      <x:c r="J21" s="116" t="str">
        <x:v>ETL/API/科研</x:v>
      </x:c>
      <x:c r="K21" s="116" t="str">
        <x:v>域Owner</x:v>
      </x:c>
      <x:c r="L21" s="119" t="str">
        <x:v>条件映射显式化</x:v>
      </x:c>
      <x:c r="M21" s="113"/>
      <x:c r="N21" s="113"/>
      <x:c r="O21" s="113"/>
    </x:row>
    <x:row r="22">
      <x:c r="A22" s="115" t="str">
        <x:v>meta</x:v>
      </x:c>
      <x:c r="B22" s="116" t="str">
        <x:v>data_asset</x:v>
      </x:c>
      <x:c r="C22" s="116" t="str">
        <x:v>元数据</x:v>
      </x:c>
      <x:c r="D22" s="116" t="str">
        <x:v>资产目录</x:v>
      </x:c>
      <x:c r="E22" s="116" t="str">
        <x:v>data_asset_id</x:v>
      </x:c>
      <x:c r="F22" s="116" t="str">
        <x:v>长期</x:v>
      </x:c>
      <x:c r="G22" s="116" t="str">
        <x:v>分类级别</x:v>
      </x:c>
      <x:c r="H22" s="116" t="str">
        <x:v>asset_urn唯一</x:v>
      </x:c>
      <x:c r="I22" s="116" t="str">
        <x:v>采集器+人工</x:v>
      </x:c>
      <x:c r="J22" s="116" t="str">
        <x:v>目录/权限/质量</x:v>
      </x:c>
      <x:c r="K22" s="116" t="str">
        <x:v>治理办公室</x:v>
      </x:c>
      <x:c r="L22" s="119" t="str">
        <x:v>Owner不能为空</x:v>
      </x:c>
      <x:c r="M22" s="113"/>
      <x:c r="N22" s="113"/>
      <x:c r="O22" s="113"/>
    </x:row>
    <x:row r="23">
      <x:c r="A23" s="115" t="str">
        <x:v>meta</x:v>
      </x:c>
      <x:c r="B23" s="116" t="str">
        <x:v>data_element</x:v>
      </x:c>
      <x:c r="C23" s="116" t="str">
        <x:v>元数据</x:v>
      </x:c>
      <x:c r="D23" s="116" t="str">
        <x:v>字段级业务与技术定义</x:v>
      </x:c>
      <x:c r="E23" s="116" t="str">
        <x:v>data_element_id</x:v>
      </x:c>
      <x:c r="F23" s="116" t="str">
        <x:v>长期</x:v>
      </x:c>
      <x:c r="G23" s="116" t="str">
        <x:v>隐私级别</x:v>
      </x:c>
      <x:c r="H23" s="116" t="str">
        <x:v>资产+字段唯一</x:v>
      </x:c>
      <x:c r="I23" s="116" t="str">
        <x:v>元数据采集</x:v>
      </x:c>
      <x:c r="J23" s="116" t="str">
        <x:v>标准/质量/脱敏</x:v>
      </x:c>
      <x:c r="K23" s="116" t="str">
        <x:v>治理办公室</x:v>
      </x:c>
      <x:c r="L23" s="119" t="str">
        <x:v>关联值域和规则</x:v>
      </x:c>
      <x:c r="M23" s="113"/>
      <x:c r="N23" s="113"/>
      <x:c r="O23" s="113"/>
    </x:row>
    <x:row r="24">
      <x:c r="A24" s="115" t="str">
        <x:v>meta</x:v>
      </x:c>
      <x:c r="B24" s="116" t="str">
        <x:v>lineage_edge</x:v>
      </x:c>
      <x:c r="C24" s="116" t="str">
        <x:v>元数据</x:v>
      </x:c>
      <x:c r="D24" s="116" t="str">
        <x:v>表/字段血缘</x:v>
      </x:c>
      <x:c r="E24" s="116" t="str">
        <x:v>lineage_edge_id</x:v>
      </x:c>
      <x:c r="F24" s="116" t="str">
        <x:v>按年归档</x:v>
      </x:c>
      <x:c r="G24" s="116" t="str">
        <x:v>可能含SQL</x:v>
      </x:c>
      <x:c r="H24" s="116" t="str">
        <x:v>源/目标URN索引</x:v>
      </x:c>
      <x:c r="I24" s="116" t="str">
        <x:v>OpenLineage/解析</x:v>
      </x:c>
      <x:c r="J24" s="116" t="str">
        <x:v>影响分析</x:v>
      </x:c>
      <x:c r="K24" s="116" t="str">
        <x:v>平台组</x:v>
      </x:c>
      <x:c r="L24" s="119" t="str">
        <x:v>标记置信度</x:v>
      </x:c>
      <x:c r="M24" s="113"/>
      <x:c r="N24" s="113"/>
      <x:c r="O24" s="113"/>
    </x:row>
    <x:row r="25">
      <x:c r="A25" s="115" t="str">
        <x:v>dq</x:v>
      </x:c>
      <x:c r="B25" s="116" t="str">
        <x:v>rule</x:v>
      </x:c>
      <x:c r="C25" s="116" t="str">
        <x:v>质量</x:v>
      </x:c>
      <x:c r="D25" s="116" t="str">
        <x:v>规则定义</x:v>
      </x:c>
      <x:c r="E25" s="116" t="str">
        <x:v>rule_id</x:v>
      </x:c>
      <x:c r="F25" s="116" t="str">
        <x:v>版本长期</x:v>
      </x:c>
      <x:c r="G25" s="116" t="str">
        <x:v>无</x:v>
      </x:c>
      <x:c r="H25" s="116" t="str">
        <x:v>rule_code唯一</x:v>
      </x:c>
      <x:c r="I25" s="116" t="str">
        <x:v>Owner/Steward</x:v>
      </x:c>
      <x:c r="J25" s="116" t="str">
        <x:v>质量执行器</x:v>
      </x:c>
      <x:c r="K25" s="116" t="str">
        <x:v>域Owner</x:v>
      </x:c>
      <x:c r="L25" s="119" t="str">
        <x:v>阻断级需审批</x:v>
      </x:c>
      <x:c r="M25" s="113"/>
      <x:c r="N25" s="113"/>
      <x:c r="O25" s="113"/>
    </x:row>
    <x:row r="26">
      <x:c r="A26" s="115" t="str">
        <x:v>dq</x:v>
      </x:c>
      <x:c r="B26" s="116" t="str">
        <x:v>execution</x:v>
      </x:c>
      <x:c r="C26" s="116" t="str">
        <x:v>质量</x:v>
      </x:c>
      <x:c r="D26" s="116" t="str">
        <x:v>规则执行批次</x:v>
      </x:c>
      <x:c r="E26" s="116" t="str">
        <x:v>execution_id</x:v>
      </x:c>
      <x:c r="F26" s="116" t="str">
        <x:v>在线12月/归档</x:v>
      </x:c>
      <x:c r="G26" s="116" t="str">
        <x:v>可能有计数</x:v>
      </x:c>
      <x:c r="H26" s="116" t="str">
        <x:v>批次/时间索引</x:v>
      </x:c>
      <x:c r="I26" s="116" t="str">
        <x:v>GX/Soda/SQL</x:v>
      </x:c>
      <x:c r="J26" s="116" t="str">
        <x:v>看板/工单</x:v>
      </x:c>
      <x:c r="K26" s="116" t="str">
        <x:v>质量组</x:v>
      </x:c>
      <x:c r="L26" s="119" t="str">
        <x:v>证据URI</x:v>
      </x:c>
      <x:c r="M26" s="113"/>
      <x:c r="N26" s="113"/>
      <x:c r="O26" s="113"/>
    </x:row>
    <x:row r="27">
      <x:c r="A27" s="115" t="str">
        <x:v>dq</x:v>
      </x:c>
      <x:c r="B27" s="116" t="str">
        <x:v>issue</x:v>
      </x:c>
      <x:c r="C27" s="116" t="str">
        <x:v>质量</x:v>
      </x:c>
      <x:c r="D27" s="116" t="str">
        <x:v>问题工单</x:v>
      </x:c>
      <x:c r="E27" s="116" t="str">
        <x:v>issue_id</x:v>
      </x:c>
      <x:c r="F27" s="116" t="str">
        <x:v>闭环后归档</x:v>
      </x:c>
      <x:c r="G27" s="116" t="str">
        <x:v>可含业务键令牌</x:v>
      </x:c>
      <x:c r="H27" s="116" t="str">
        <x:v>owner+status+severity</x:v>
      </x:c>
      <x:c r="I27" s="116" t="str">
        <x:v>规则执行</x:v>
      </x:c>
      <x:c r="J27" s="116" t="str">
        <x:v>Owner/考核</x:v>
      </x:c>
      <x:c r="K27" s="116" t="str">
        <x:v>域Owner</x:v>
      </x:c>
      <x:c r="L27" s="119" t="str">
        <x:v>必须有根因</x:v>
      </x:c>
      <x:c r="M27" s="113"/>
      <x:c r="N27" s="113"/>
      <x:c r="O27" s="113"/>
    </x:row>
    <x:row r="28">
      <x:c r="A28" s="115" t="str">
        <x:v>gov</x:v>
      </x:c>
      <x:c r="B28" s="116" t="str">
        <x:v>change_request</x:v>
      </x:c>
      <x:c r="C28" s="116" t="str">
        <x:v>治理</x:v>
      </x:c>
      <x:c r="D28" s="116" t="str">
        <x:v>主数据/标准变更申请</x:v>
      </x:c>
      <x:c r="E28" s="116" t="str">
        <x:v>change_request_id</x:v>
      </x:c>
      <x:c r="F28" s="116" t="str">
        <x:v>永久</x:v>
      </x:c>
      <x:c r="G28" s="116" t="str">
        <x:v>提案可能敏感</x:v>
      </x:c>
      <x:c r="H28" s="116" t="str">
        <x:v>request_no唯一</x:v>
      </x:c>
      <x:c r="I28" s="116" t="str">
        <x:v>用户/系统</x:v>
      </x:c>
      <x:c r="J28" s="116" t="str">
        <x:v>审批/发布</x:v>
      </x:c>
      <x:c r="K28" s="116" t="str">
        <x:v>治理办公室</x:v>
      </x:c>
      <x:c r="L28" s="119" t="str">
        <x:v>含影响与回滚</x:v>
      </x:c>
      <x:c r="M28" s="113"/>
      <x:c r="N28" s="113"/>
      <x:c r="O28" s="113"/>
    </x:row>
    <x:row r="29">
      <x:c r="A29" s="115" t="str">
        <x:v>gov</x:v>
      </x:c>
      <x:c r="B29" s="116" t="str">
        <x:v>approval_task</x:v>
      </x:c>
      <x:c r="C29" s="116" t="str">
        <x:v>治理</x:v>
      </x:c>
      <x:c r="D29" s="116" t="str">
        <x:v>审批节点</x:v>
      </x:c>
      <x:c r="E29" s="116" t="str">
        <x:v>approval_task_id</x:v>
      </x:c>
      <x:c r="F29" s="116" t="str">
        <x:v>永久</x:v>
      </x:c>
      <x:c r="G29" s="116" t="str">
        <x:v>审批意见</x:v>
      </x:c>
      <x:c r="H29" s="116" t="str">
        <x:v>请求+步骤唯一</x:v>
      </x:c>
      <x:c r="I29" s="116" t="str">
        <x:v>流程引擎</x:v>
      </x:c>
      <x:c r="J29" s="116" t="str">
        <x:v>审计</x:v>
      </x:c>
      <x:c r="K29" s="116" t="str">
        <x:v>治理办公室</x:v>
      </x:c>
      <x:c r="L29" s="119" t="str">
        <x:v>高风险会签</x:v>
      </x:c>
      <x:c r="M29" s="113"/>
      <x:c r="N29" s="113"/>
      <x:c r="O29" s="113"/>
    </x:row>
    <x:row r="30">
      <x:c r="A30" s="115" t="str">
        <x:v>gov</x:v>
      </x:c>
      <x:c r="B30" s="116" t="str">
        <x:v>publication</x:v>
      </x:c>
      <x:c r="C30" s="116" t="str">
        <x:v>治理</x:v>
      </x:c>
      <x:c r="D30" s="116" t="str">
        <x:v>发布版本与回滚令牌</x:v>
      </x:c>
      <x:c r="E30" s="116" t="str">
        <x:v>publication_id</x:v>
      </x:c>
      <x:c r="F30" s="116" t="str">
        <x:v>永久</x:v>
      </x:c>
      <x:c r="G30" s="116" t="str">
        <x:v>无</x:v>
      </x:c>
      <x:c r="H30" s="116" t="str">
        <x:v>对象+版本索引</x:v>
      </x:c>
      <x:c r="I30" s="116" t="str">
        <x:v>发布服务</x:v>
      </x:c>
      <x:c r="J30" s="116" t="str">
        <x:v>下游/审计</x:v>
      </x:c>
      <x:c r="K30" s="116" t="str">
        <x:v>治理办公室</x:v>
      </x:c>
      <x:c r="L30" s="119" t="str">
        <x:v>不可静默覆盖</x:v>
      </x:c>
      <x:c r="M30" s="113"/>
      <x:c r="N30" s="113"/>
      <x:c r="O30" s="113"/>
    </x:row>
    <x:row r="31">
      <x:c r="A31" s="115" t="str">
        <x:v>gov</x:v>
      </x:c>
      <x:c r="B31" s="116" t="str">
        <x:v>subscription</x:v>
      </x:c>
      <x:c r="C31" s="116" t="str">
        <x:v>治理</x:v>
      </x:c>
      <x:c r="D31" s="116" t="str">
        <x:v>订阅方、字段与SLA</x:v>
      </x:c>
      <x:c r="E31" s="116" t="str">
        <x:v>subscription_id</x:v>
      </x:c>
      <x:c r="F31" s="116" t="str">
        <x:v>长期</x:v>
      </x:c>
      <x:c r="G31" s="116" t="str">
        <x:v>端点/权限</x:v>
      </x:c>
      <x:c r="H31" s="116" t="str">
        <x:v>订阅者+端点唯一</x:v>
      </x:c>
      <x:c r="I31" s="116" t="str">
        <x:v>接口管理员</x:v>
      </x:c>
      <x:c r="J31" s="116" t="str">
        <x:v>事件平台</x:v>
      </x:c>
      <x:c r="K31" s="116" t="str">
        <x:v>信息中心</x:v>
      </x:c>
      <x:c r="L31" s="119" t="str">
        <x:v>白名单和责任人</x:v>
      </x:c>
      <x:c r="M31" s="113"/>
      <x:c r="N31" s="113"/>
      <x:c r="O31" s="113"/>
    </x:row>
    <x:row r="32">
      <x:c r="A32" s="115" t="str">
        <x:v>integration</x:v>
      </x:c>
      <x:c r="B32" s="116" t="str">
        <x:v>outbox_event</x:v>
      </x:c>
      <x:c r="C32" s="116" t="str">
        <x:v>集成</x:v>
      </x:c>
      <x:c r="D32" s="116" t="str">
        <x:v>事务性待发布事件</x:v>
      </x:c>
      <x:c r="E32" s="116" t="str">
        <x:v>event_id</x:v>
      </x:c>
      <x:c r="F32" s="116" t="str">
        <x:v>在线30天/归档</x:v>
      </x:c>
      <x:c r="G32" s="116" t="str">
        <x:v>默认无明文敏感</x:v>
      </x:c>
      <x:c r="H32" s="116" t="str">
        <x:v>聚合+版本+事件唯一</x:v>
      </x:c>
      <x:c r="I32" s="116" t="str">
        <x:v>业务事务</x:v>
      </x:c>
      <x:c r="J32" s="116" t="str">
        <x:v>Kafka发布器</x:v>
      </x:c>
      <x:c r="K32" s="116" t="str">
        <x:v>平台组</x:v>
      </x:c>
      <x:c r="L32" s="119" t="str">
        <x:v>失败可重试</x:v>
      </x:c>
      <x:c r="M32" s="113"/>
      <x:c r="N32" s="113"/>
      <x:c r="O32" s="113"/>
    </x:row>
    <x:row r="33">
      <x:c r="A33" s="115" t="str">
        <x:v>integration</x:v>
      </x:c>
      <x:c r="B33" s="116" t="str">
        <x:v>inbox_event</x:v>
      </x:c>
      <x:c r="C33" s="116" t="str">
        <x:v>集成</x:v>
      </x:c>
      <x:c r="D33" s="116" t="str">
        <x:v>消费者幂等记录</x:v>
      </x:c>
      <x:c r="E33" s="116" t="str">
        <x:v>inbox_event_id</x:v>
      </x:c>
      <x:c r="F33" s="116" t="str">
        <x:v>在线30天</x:v>
      </x:c>
      <x:c r="G33" s="116" t="str">
        <x:v>无</x:v>
      </x:c>
      <x:c r="H33" s="116" t="str">
        <x:v>消费者+event唯一</x:v>
      </x:c>
      <x:c r="I33" s="116" t="str">
        <x:v>Kafka消费者</x:v>
      </x:c>
      <x:c r="J33" s="116" t="str">
        <x:v>业务服务</x:v>
      </x:c>
      <x:c r="K33" s="116" t="str">
        <x:v>平台组</x:v>
      </x:c>
      <x:c r="L33" s="119" t="str">
        <x:v>防重复副作用</x:v>
      </x:c>
      <x:c r="M33" s="113"/>
      <x:c r="N33" s="113"/>
      <x:c r="O33" s="113"/>
    </x:row>
    <x:row r="34">
      <x:c r="A34" s="115" t="str">
        <x:v>integration</x:v>
      </x:c>
      <x:c r="B34" s="116" t="str">
        <x:v>dead_letter</x:v>
      </x:c>
      <x:c r="C34" s="116" t="str">
        <x:v>集成</x:v>
      </x:c>
      <x:c r="D34" s="116" t="str">
        <x:v>失败事件与补偿</x:v>
      </x:c>
      <x:c r="E34" s="116" t="str">
        <x:v>dead_letter_id</x:v>
      </x:c>
      <x:c r="F34" s="116" t="str">
        <x:v>闭环后归档</x:v>
      </x:c>
      <x:c r="G34" s="116" t="str">
        <x:v>payload需脱敏</x:v>
      </x:c>
      <x:c r="H34" s="116" t="str">
        <x:v>状态+时间</x:v>
      </x:c>
      <x:c r="I34" s="116" t="str">
        <x:v>各通道</x:v>
      </x:c>
      <x:c r="J34" s="116" t="str">
        <x:v>补偿工作台</x:v>
      </x:c>
      <x:c r="K34" s="116" t="str">
        <x:v>集成组</x:v>
      </x:c>
      <x:c r="L34" s="119" t="str">
        <x:v>不能只堆不处理</x:v>
      </x:c>
      <x:c r="M34" s="113"/>
      <x:c r="N34" s="113"/>
      <x:c r="O34" s="113"/>
    </x:row>
    <x:row r="35">
      <x:c r="A35" s="115" t="str">
        <x:v>audit</x:v>
      </x:c>
      <x:c r="B35" s="116" t="str">
        <x:v>event</x:v>
      </x:c>
      <x:c r="C35" s="116" t="str">
        <x:v>审计</x:v>
      </x:c>
      <x:c r="D35" s="116" t="str">
        <x:v>访问/变更/导出审计</x:v>
      </x:c>
      <x:c r="E35" s="116" t="str">
        <x:v>audit_event_id</x:v>
      </x:c>
      <x:c r="F35" s="116" t="str">
        <x:v>按月分区+WORM</x:v>
      </x:c>
      <x:c r="G35" s="116" t="str">
        <x:v>高敏元数据</x:v>
      </x:c>
      <x:c r="H35" s="116" t="str">
        <x:v>actor/resource/time</x:v>
      </x:c>
      <x:c r="I35" s="116" t="str">
        <x:v>全平台</x:v>
      </x:c>
      <x:c r="J35" s="116" t="str">
        <x:v>安全审计</x:v>
      </x:c>
      <x:c r="K35" s="116" t="str">
        <x:v>安全处</x:v>
      </x:c>
      <x:c r="L35" s="119" t="str">
        <x:v>独立权限边界</x:v>
      </x:c>
      <x:c r="M35" s="113"/>
      <x:c r="N35" s="113"/>
      <x:c r="O35" s="113"/>
    </x:row>
    <x:row r="36">
      <x:c r="A36" s="115" t="str">
        <x:v>audit</x:v>
      </x:c>
      <x:c r="B36" s="116" t="str">
        <x:v>export_request</x:v>
      </x:c>
      <x:c r="C36" s="116" t="str">
        <x:v>安全</x:v>
      </x:c>
      <x:c r="D36" s="116" t="str">
        <x:v>数据导出审批与水印</x:v>
      </x:c>
      <x:c r="E36" s="116" t="str">
        <x:v>export_request_id</x:v>
      </x:c>
      <x:c r="F36" s="116" t="str">
        <x:v>永久</x:v>
      </x:c>
      <x:c r="G36" s="116" t="str">
        <x:v>用途/范围</x:v>
      </x:c>
      <x:c r="H36" s="116" t="str">
        <x:v>request_no唯一</x:v>
      </x:c>
      <x:c r="I36" s="116" t="str">
        <x:v>科研/管理用户</x:v>
      </x:c>
      <x:c r="J36" s="116" t="str">
        <x:v>安全沙箱</x:v>
      </x:c>
      <x:c r="K36" s="116" t="str">
        <x:v>数据安全组</x:v>
      </x:c>
      <x:c r="L36" s="119" t="str">
        <x:v>结果审查</x:v>
      </x:c>
      <x:c r="M36" s="113"/>
      <x:c r="N36" s="113"/>
      <x:c r="O36" s="113"/>
    </x:row>
    <x:row r="37">
      <x:c r="A37" s="121" t="str">
        <x:v>ops</x:v>
      </x:c>
      <x:c r="B37" s="123" t="str">
        <x:v>service_slo</x:v>
      </x:c>
      <x:c r="C37" s="123" t="str">
        <x:v>运维</x:v>
      </x:c>
      <x:c r="D37" s="123" t="str">
        <x:v>服务目标和错误预算</x:v>
      </x:c>
      <x:c r="E37" s="123" t="str">
        <x:v>service_slo_id</x:v>
      </x:c>
      <x:c r="F37" s="123" t="str">
        <x:v>长期</x:v>
      </x:c>
      <x:c r="G37" s="123" t="str">
        <x:v>无</x:v>
      </x:c>
      <x:c r="H37" s="123" t="str">
        <x:v>服务+SLO唯一</x:v>
      </x:c>
      <x:c r="I37" s="123" t="str">
        <x:v>SRE</x:v>
      </x:c>
      <x:c r="J37" s="123" t="str">
        <x:v>看板/发布门禁</x:v>
      </x:c>
      <x:c r="K37" s="123" t="str">
        <x:v>SRE</x:v>
      </x:c>
      <x:c r="L37" s="124" t="str">
        <x:v>与告警联动</x:v>
      </x:c>
      <x:c r="M37" s="113"/>
      <x:c r="N37" s="113"/>
      <x:c r="O37" s="113"/>
    </x:row>
    <x:row r="38">
      <x:c r="A38" s="113"/>
      <x:c r="B38" s="113"/>
      <x:c r="C38" s="113"/>
      <x:c r="D38" s="113"/>
      <x:c r="E38" s="113"/>
      <x:c r="F38" s="113"/>
      <x:c r="G38" s="113"/>
      <x:c r="H38" s="113"/>
      <x:c r="I38" s="113"/>
      <x:c r="J38" s="113"/>
      <x:c r="K38" s="113"/>
      <x:c r="L38" s="113"/>
      <x:c r="M38" s="113"/>
      <x:c r="N38" s="113"/>
      <x:c r="O38" s="113"/>
    </x:row>
    <x:row r="39">
      <x:c r="A39" s="113"/>
      <x:c r="B39" s="113"/>
      <x:c r="C39" s="113"/>
      <x:c r="D39" s="113"/>
      <x:c r="E39" s="113"/>
      <x:c r="F39" s="113"/>
      <x:c r="G39" s="113"/>
      <x:c r="H39" s="113"/>
      <x:c r="I39" s="113"/>
      <x:c r="J39" s="113"/>
      <x:c r="K39" s="113"/>
      <x:c r="L39" s="113"/>
      <x:c r="M39" s="113"/>
      <x:c r="N39" s="113"/>
      <x:c r="O39" s="113"/>
    </x:row>
    <x:row r="40">
      <x:c r="A40" s="113"/>
      <x:c r="B40" s="113"/>
      <x:c r="C40" s="113"/>
      <x:c r="D40" s="113"/>
      <x:c r="E40" s="113"/>
      <x:c r="F40" s="113"/>
      <x:c r="G40" s="113"/>
      <x:c r="H40" s="113"/>
      <x:c r="I40" s="113"/>
      <x:c r="J40" s="113"/>
      <x:c r="K40" s="113"/>
      <x:c r="L40" s="113"/>
      <x:c r="M40" s="113"/>
      <x:c r="N40" s="113"/>
      <x:c r="O40" s="113"/>
    </x:row>
    <x:row r="41">
      <x:c r="A41" s="113"/>
      <x:c r="B41" s="113"/>
      <x:c r="C41" s="113"/>
      <x:c r="D41" s="113"/>
      <x:c r="E41" s="113"/>
      <x:c r="F41" s="113"/>
      <x:c r="G41" s="113"/>
      <x:c r="H41" s="113"/>
      <x:c r="I41" s="113"/>
      <x:c r="J41" s="113"/>
      <x:c r="K41" s="113"/>
      <x:c r="L41" s="113"/>
      <x:c r="M41" s="113"/>
      <x:c r="N41" s="113"/>
      <x:c r="O41" s="113"/>
    </x:row>
    <x:row r="42">
      <x:c r="A42" s="113"/>
      <x:c r="B42" s="113"/>
      <x:c r="C42" s="113"/>
      <x:c r="D42" s="113"/>
      <x:c r="E42" s="113"/>
      <x:c r="F42" s="113"/>
      <x:c r="G42" s="113"/>
      <x:c r="H42" s="113"/>
      <x:c r="I42" s="113"/>
      <x:c r="J42" s="113"/>
      <x:c r="K42" s="113"/>
      <x:c r="L42" s="113"/>
      <x:c r="M42" s="113"/>
      <x:c r="N42" s="113"/>
      <x:c r="O42" s="113"/>
    </x:row>
    <x:row r="43">
      <x:c r="A43" s="113"/>
      <x:c r="B43" s="113"/>
      <x:c r="C43" s="113"/>
      <x:c r="D43" s="113"/>
      <x:c r="E43" s="113"/>
      <x:c r="F43" s="113"/>
      <x:c r="G43" s="113"/>
      <x:c r="H43" s="113"/>
      <x:c r="I43" s="113"/>
      <x:c r="J43" s="113"/>
      <x:c r="K43" s="113"/>
      <x:c r="L43" s="113"/>
      <x:c r="M43" s="113"/>
      <x:c r="N43" s="113"/>
      <x:c r="O43" s="113"/>
    </x:row>
    <x:row r="44">
      <x:c r="A44" s="113"/>
      <x:c r="B44" s="113"/>
      <x:c r="C44" s="113"/>
      <x:c r="D44" s="113"/>
      <x:c r="E44" s="113"/>
      <x:c r="F44" s="113"/>
      <x:c r="G44" s="113"/>
      <x:c r="H44" s="113"/>
      <x:c r="I44" s="113"/>
      <x:c r="J44" s="113"/>
      <x:c r="K44" s="113"/>
      <x:c r="L44" s="113"/>
      <x:c r="M44" s="113"/>
      <x:c r="N44" s="113"/>
      <x:c r="O44" s="113"/>
    </x:row>
    <x:row r="45">
      <x:c r="A45" s="113"/>
      <x:c r="B45" s="113"/>
      <x:c r="C45" s="113"/>
      <x:c r="D45" s="113"/>
      <x:c r="E45" s="113"/>
      <x:c r="F45" s="113"/>
      <x:c r="G45" s="113"/>
      <x:c r="H45" s="113"/>
      <x:c r="I45" s="113"/>
      <x:c r="J45" s="113"/>
      <x:c r="K45" s="113"/>
      <x:c r="L45" s="113"/>
      <x:c r="M45" s="113"/>
      <x:c r="N45" s="113"/>
      <x:c r="O45" s="113"/>
    </x:row>
    <x:row r="46">
      <x:c r="A46" s="113"/>
      <x:c r="B46" s="113"/>
      <x:c r="C46" s="113"/>
      <x:c r="D46" s="113"/>
      <x:c r="E46" s="113"/>
      <x:c r="F46" s="113"/>
      <x:c r="G46" s="113"/>
      <x:c r="H46" s="113"/>
      <x:c r="I46" s="113"/>
      <x:c r="J46" s="113"/>
      <x:c r="K46" s="113"/>
      <x:c r="L46" s="113"/>
      <x:c r="M46" s="113"/>
      <x:c r="N46" s="113"/>
      <x:c r="O46" s="113"/>
    </x:row>
    <x:row r="47">
      <x:c r="A47" s="113"/>
      <x:c r="B47" s="113"/>
      <x:c r="C47" s="113"/>
      <x:c r="D47" s="113"/>
      <x:c r="E47" s="113"/>
      <x:c r="F47" s="113"/>
      <x:c r="G47" s="113"/>
      <x:c r="H47" s="113"/>
      <x:c r="I47" s="113"/>
      <x:c r="J47" s="113"/>
      <x:c r="K47" s="113"/>
      <x:c r="L47" s="113"/>
      <x:c r="M47" s="113"/>
      <x:c r="N47" s="113"/>
      <x:c r="O47" s="113"/>
    </x:row>
    <x:row r="48">
      <x:c r="A48" s="113"/>
      <x:c r="B48" s="113"/>
      <x:c r="C48" s="113"/>
      <x:c r="D48" s="113"/>
      <x:c r="E48" s="113"/>
      <x:c r="F48" s="113"/>
      <x:c r="G48" s="113"/>
      <x:c r="H48" s="113"/>
      <x:c r="I48" s="113"/>
      <x:c r="J48" s="113"/>
      <x:c r="K48" s="113"/>
      <x:c r="L48" s="113"/>
      <x:c r="M48" s="113"/>
      <x:c r="N48" s="113"/>
      <x:c r="O48" s="113"/>
    </x:row>
    <x:row r="49">
      <x:c r="A49" s="113"/>
      <x:c r="B49" s="113"/>
      <x:c r="C49" s="113"/>
      <x:c r="D49" s="113"/>
      <x:c r="E49" s="113"/>
      <x:c r="F49" s="113"/>
      <x:c r="G49" s="113"/>
      <x:c r="H49" s="113"/>
      <x:c r="I49" s="113"/>
      <x:c r="J49" s="113"/>
      <x:c r="K49" s="113"/>
      <x:c r="L49" s="113"/>
      <x:c r="M49" s="113"/>
      <x:c r="N49" s="113"/>
      <x:c r="O49" s="113"/>
    </x:row>
    <x:row r="50">
      <x:c r="A50" s="113"/>
      <x:c r="B50" s="113"/>
      <x:c r="C50" s="113"/>
      <x:c r="D50" s="113"/>
      <x:c r="E50" s="113"/>
      <x:c r="F50" s="113"/>
      <x:c r="G50" s="113"/>
      <x:c r="H50" s="113"/>
      <x:c r="I50" s="113"/>
      <x:c r="J50" s="113"/>
      <x:c r="K50" s="113"/>
      <x:c r="L50" s="113"/>
      <x:c r="M50" s="113"/>
      <x:c r="N50" s="113"/>
      <x:c r="O50" s="113"/>
    </x:row>
    <x:row r="51">
      <x:c r="A51" s="113"/>
      <x:c r="B51" s="113"/>
      <x:c r="C51" s="113"/>
      <x:c r="D51" s="113"/>
      <x:c r="E51" s="113"/>
      <x:c r="F51" s="113"/>
      <x:c r="G51" s="113"/>
      <x:c r="H51" s="113"/>
      <x:c r="I51" s="113"/>
      <x:c r="J51" s="113"/>
      <x:c r="K51" s="113"/>
      <x:c r="L51" s="113"/>
      <x:c r="M51" s="113"/>
      <x:c r="N51" s="113"/>
      <x:c r="O51" s="113"/>
    </x:row>
    <x:row r="52">
      <x:c r="A52" s="113"/>
      <x:c r="B52" s="113"/>
      <x:c r="C52" s="113"/>
      <x:c r="D52" s="113"/>
      <x:c r="E52" s="113"/>
      <x:c r="F52" s="113"/>
      <x:c r="G52" s="113"/>
      <x:c r="H52" s="113"/>
      <x:c r="I52" s="113"/>
      <x:c r="J52" s="113"/>
      <x:c r="K52" s="113"/>
      <x:c r="L52" s="113"/>
      <x:c r="M52" s="113"/>
      <x:c r="N52" s="113"/>
      <x:c r="O52" s="113"/>
    </x:row>
    <x:row r="53">
      <x:c r="A53" s="113"/>
      <x:c r="B53" s="113"/>
      <x:c r="C53" s="113"/>
      <x:c r="D53" s="113"/>
      <x:c r="E53" s="113"/>
      <x:c r="F53" s="113"/>
      <x:c r="G53" s="113"/>
      <x:c r="H53" s="113"/>
      <x:c r="I53" s="113"/>
      <x:c r="J53" s="113"/>
      <x:c r="K53" s="113"/>
      <x:c r="L53" s="113"/>
      <x:c r="M53" s="113"/>
      <x:c r="N53" s="113"/>
      <x:c r="O53" s="113"/>
    </x:row>
    <x:row r="54">
      <x:c r="A54" s="113"/>
      <x:c r="B54" s="113"/>
      <x:c r="C54" s="113"/>
      <x:c r="D54" s="113"/>
      <x:c r="E54" s="113"/>
      <x:c r="F54" s="113"/>
      <x:c r="G54" s="113"/>
      <x:c r="H54" s="113"/>
      <x:c r="I54" s="113"/>
      <x:c r="J54" s="113"/>
      <x:c r="K54" s="113"/>
      <x:c r="L54" s="113"/>
      <x:c r="M54" s="113"/>
      <x:c r="N54" s="113"/>
      <x:c r="O54" s="113"/>
    </x:row>
    <x:row r="55">
      <x:c r="A55" s="113"/>
      <x:c r="B55" s="113"/>
      <x:c r="C55" s="113"/>
      <x:c r="D55" s="113"/>
      <x:c r="E55" s="113"/>
      <x:c r="F55" s="113"/>
      <x:c r="G55" s="113"/>
      <x:c r="H55" s="113"/>
      <x:c r="I55" s="113"/>
      <x:c r="J55" s="113"/>
      <x:c r="K55" s="113"/>
      <x:c r="L55" s="113"/>
      <x:c r="M55" s="113"/>
      <x:c r="N55" s="113"/>
      <x:c r="O55" s="113"/>
    </x:row>
    <x:row r="56">
      <x:c r="A56" s="113"/>
      <x:c r="B56" s="113"/>
      <x:c r="C56" s="113"/>
      <x:c r="D56" s="113"/>
      <x:c r="E56" s="113"/>
      <x:c r="F56" s="113"/>
      <x:c r="G56" s="113"/>
      <x:c r="H56" s="113"/>
      <x:c r="I56" s="113"/>
      <x:c r="J56" s="113"/>
      <x:c r="K56" s="113"/>
      <x:c r="L56" s="113"/>
      <x:c r="M56" s="113"/>
      <x:c r="N56" s="113"/>
      <x:c r="O56" s="113"/>
    </x:row>
    <x:row r="57">
      <x:c r="A57" s="113"/>
      <x:c r="B57" s="113"/>
      <x:c r="C57" s="113"/>
      <x:c r="D57" s="113"/>
      <x:c r="E57" s="113"/>
      <x:c r="F57" s="113"/>
      <x:c r="G57" s="113"/>
      <x:c r="H57" s="113"/>
      <x:c r="I57" s="113"/>
      <x:c r="J57" s="113"/>
      <x:c r="K57" s="113"/>
      <x:c r="L57" s="113"/>
      <x:c r="M57" s="113"/>
      <x:c r="N57" s="113"/>
      <x:c r="O57" s="113"/>
    </x:row>
    <x:row r="58">
      <x:c r="A58" s="113"/>
      <x:c r="B58" s="113"/>
      <x:c r="C58" s="113"/>
      <x:c r="D58" s="113"/>
      <x:c r="E58" s="113"/>
      <x:c r="F58" s="113"/>
      <x:c r="G58" s="113"/>
      <x:c r="H58" s="113"/>
      <x:c r="I58" s="113"/>
      <x:c r="J58" s="113"/>
      <x:c r="K58" s="113"/>
      <x:c r="L58" s="113"/>
      <x:c r="M58" s="113"/>
      <x:c r="N58" s="113"/>
      <x:c r="O58" s="113"/>
    </x:row>
    <x:row r="59">
      <x:c r="A59" s="113"/>
      <x:c r="B59" s="113"/>
      <x:c r="C59" s="113"/>
      <x:c r="D59" s="113"/>
      <x:c r="E59" s="113"/>
      <x:c r="F59" s="113"/>
      <x:c r="G59" s="113"/>
      <x:c r="H59" s="113"/>
      <x:c r="I59" s="113"/>
      <x:c r="J59" s="113"/>
      <x:c r="K59" s="113"/>
      <x:c r="L59" s="113"/>
      <x:c r="M59" s="113"/>
      <x:c r="N59" s="113"/>
      <x:c r="O59" s="113"/>
    </x:row>
    <x:row r="60">
      <x:c r="A60" s="113"/>
      <x:c r="B60" s="113"/>
      <x:c r="C60" s="113"/>
      <x:c r="D60" s="113"/>
      <x:c r="E60" s="113"/>
      <x:c r="F60" s="113"/>
      <x:c r="G60" s="113"/>
      <x:c r="H60" s="113"/>
      <x:c r="I60" s="113"/>
      <x:c r="J60" s="113"/>
      <x:c r="K60" s="113"/>
      <x:c r="L60" s="113"/>
      <x:c r="M60" s="113"/>
      <x:c r="N60" s="113"/>
      <x:c r="O60" s="113"/>
    </x:row>
    <x:row r="61">
      <x:c r="A61" s="113"/>
      <x:c r="B61" s="113"/>
      <x:c r="C61" s="113"/>
      <x:c r="D61" s="113"/>
      <x:c r="E61" s="113"/>
      <x:c r="F61" s="113"/>
      <x:c r="G61" s="113"/>
      <x:c r="H61" s="113"/>
      <x:c r="I61" s="113"/>
      <x:c r="J61" s="113"/>
      <x:c r="K61" s="113"/>
      <x:c r="L61" s="113"/>
      <x:c r="M61" s="113"/>
      <x:c r="N61" s="113"/>
      <x:c r="O61" s="113"/>
    </x:row>
    <x:row r="62">
      <x:c r="A62" s="113"/>
      <x:c r="B62" s="113"/>
      <x:c r="C62" s="113"/>
      <x:c r="D62" s="113"/>
      <x:c r="E62" s="113"/>
      <x:c r="F62" s="113"/>
      <x:c r="G62" s="113"/>
      <x:c r="H62" s="113"/>
      <x:c r="I62" s="113"/>
      <x:c r="J62" s="113"/>
      <x:c r="K62" s="113"/>
      <x:c r="L62" s="113"/>
      <x:c r="M62" s="113"/>
      <x:c r="N62" s="113"/>
      <x:c r="O62" s="113"/>
    </x:row>
    <x:row r="63">
      <x:c r="A63" s="113"/>
      <x:c r="B63" s="113"/>
      <x:c r="C63" s="113"/>
      <x:c r="D63" s="113"/>
      <x:c r="E63" s="113"/>
      <x:c r="F63" s="113"/>
      <x:c r="G63" s="113"/>
      <x:c r="H63" s="113"/>
      <x:c r="I63" s="113"/>
      <x:c r="J63" s="113"/>
      <x:c r="K63" s="113"/>
      <x:c r="L63" s="113"/>
      <x:c r="M63" s="113"/>
      <x:c r="N63" s="113"/>
      <x:c r="O63" s="113"/>
    </x:row>
    <x:row r="64">
      <x:c r="A64" s="113"/>
      <x:c r="B64" s="113"/>
      <x:c r="C64" s="113"/>
      <x:c r="D64" s="113"/>
      <x:c r="E64" s="113"/>
      <x:c r="F64" s="113"/>
      <x:c r="G64" s="113"/>
      <x:c r="H64" s="113"/>
      <x:c r="I64" s="113"/>
      <x:c r="J64" s="113"/>
      <x:c r="K64" s="113"/>
      <x:c r="L64" s="113"/>
      <x:c r="M64" s="113"/>
      <x:c r="N64" s="113"/>
      <x:c r="O64" s="113"/>
    </x:row>
    <x:row r="65">
      <x:c r="A65" s="113"/>
      <x:c r="B65" s="113"/>
      <x:c r="C65" s="113"/>
      <x:c r="D65" s="113"/>
      <x:c r="E65" s="113"/>
      <x:c r="F65" s="113"/>
      <x:c r="G65" s="113"/>
      <x:c r="H65" s="113"/>
      <x:c r="I65" s="113"/>
      <x:c r="J65" s="113"/>
      <x:c r="K65" s="113"/>
      <x:c r="L65" s="113"/>
      <x:c r="M65" s="113"/>
      <x:c r="N65" s="113"/>
      <x:c r="O65" s="113"/>
    </x:row>
    <x:row r="66">
      <x:c r="A66" s="113"/>
      <x:c r="B66" s="113"/>
      <x:c r="C66" s="113"/>
      <x:c r="D66" s="113"/>
      <x:c r="E66" s="113"/>
      <x:c r="F66" s="113"/>
      <x:c r="G66" s="113"/>
      <x:c r="H66" s="113"/>
      <x:c r="I66" s="113"/>
      <x:c r="J66" s="113"/>
      <x:c r="K66" s="113"/>
      <x:c r="L66" s="113"/>
      <x:c r="M66" s="113"/>
      <x:c r="N66" s="113"/>
      <x:c r="O66" s="113"/>
    </x:row>
    <x:row r="67">
      <x:c r="A67" s="113"/>
      <x:c r="B67" s="113"/>
      <x:c r="C67" s="113"/>
      <x:c r="D67" s="113"/>
      <x:c r="E67" s="113"/>
      <x:c r="F67" s="113"/>
      <x:c r="G67" s="113"/>
      <x:c r="H67" s="113"/>
      <x:c r="I67" s="113"/>
      <x:c r="J67" s="113"/>
      <x:c r="K67" s="113"/>
      <x:c r="L67" s="113"/>
      <x:c r="M67" s="113"/>
      <x:c r="N67" s="113"/>
      <x:c r="O67" s="113"/>
    </x:row>
    <x:row r="68">
      <x:c r="A68" s="113"/>
      <x:c r="B68" s="113"/>
      <x:c r="C68" s="113"/>
      <x:c r="D68" s="113"/>
      <x:c r="E68" s="113"/>
      <x:c r="F68" s="113"/>
      <x:c r="G68" s="113"/>
      <x:c r="H68" s="113"/>
      <x:c r="I68" s="113"/>
      <x:c r="J68" s="113"/>
      <x:c r="K68" s="113"/>
      <x:c r="L68" s="113"/>
      <x:c r="M68" s="113"/>
      <x:c r="N68" s="113"/>
      <x:c r="O68" s="113"/>
    </x:row>
    <x:row r="69">
      <x:c r="A69" s="113"/>
      <x:c r="B69" s="113"/>
      <x:c r="C69" s="113"/>
      <x:c r="D69" s="113"/>
      <x:c r="E69" s="113"/>
      <x:c r="F69" s="113"/>
      <x:c r="G69" s="113"/>
      <x:c r="H69" s="113"/>
      <x:c r="I69" s="113"/>
      <x:c r="J69" s="113"/>
      <x:c r="K69" s="113"/>
      <x:c r="L69" s="113"/>
      <x:c r="M69" s="113"/>
      <x:c r="N69" s="113"/>
      <x:c r="O69" s="113"/>
    </x:row>
    <x:row r="70">
      <x:c r="A70" s="113"/>
      <x:c r="B70" s="113"/>
      <x:c r="C70" s="113"/>
      <x:c r="D70" s="113"/>
      <x:c r="E70" s="113"/>
      <x:c r="F70" s="113"/>
      <x:c r="G70" s="113"/>
      <x:c r="H70" s="113"/>
      <x:c r="I70" s="113"/>
      <x:c r="J70" s="113"/>
      <x:c r="K70" s="113"/>
      <x:c r="L70" s="113"/>
      <x:c r="M70" s="113"/>
      <x:c r="N70" s="113"/>
      <x:c r="O70" s="113"/>
    </x:row>
    <x:row r="71">
      <x:c r="A71" s="113"/>
      <x:c r="B71" s="113"/>
      <x:c r="C71" s="113"/>
      <x:c r="D71" s="113"/>
      <x:c r="E71" s="113"/>
      <x:c r="F71" s="113"/>
      <x:c r="G71" s="113"/>
      <x:c r="H71" s="113"/>
      <x:c r="I71" s="113"/>
      <x:c r="J71" s="113"/>
      <x:c r="K71" s="113"/>
      <x:c r="L71" s="113"/>
      <x:c r="M71" s="113"/>
      <x:c r="N71" s="113"/>
      <x:c r="O71" s="113"/>
    </x:row>
    <x:row r="72">
      <x:c r="A72" s="113"/>
      <x:c r="B72" s="113"/>
      <x:c r="C72" s="113"/>
      <x:c r="D72" s="113"/>
      <x:c r="E72" s="113"/>
      <x:c r="F72" s="113"/>
      <x:c r="G72" s="113"/>
      <x:c r="H72" s="113"/>
      <x:c r="I72" s="113"/>
      <x:c r="J72" s="113"/>
      <x:c r="K72" s="113"/>
      <x:c r="L72" s="113"/>
      <x:c r="M72" s="113"/>
      <x:c r="N72" s="113"/>
      <x:c r="O72" s="113"/>
    </x:row>
    <x:row r="73">
      <x:c r="A73" s="113"/>
      <x:c r="B73" s="113"/>
      <x:c r="C73" s="113"/>
      <x:c r="D73" s="113"/>
      <x:c r="E73" s="113"/>
      <x:c r="F73" s="113"/>
      <x:c r="G73" s="113"/>
      <x:c r="H73" s="113"/>
      <x:c r="I73" s="113"/>
      <x:c r="J73" s="113"/>
      <x:c r="K73" s="113"/>
      <x:c r="L73" s="113"/>
      <x:c r="M73" s="113"/>
      <x:c r="N73" s="113"/>
      <x:c r="O73" s="113"/>
    </x:row>
    <x:row r="74">
      <x:c r="A74" s="113"/>
      <x:c r="B74" s="113"/>
      <x:c r="C74" s="113"/>
      <x:c r="D74" s="113"/>
      <x:c r="E74" s="113"/>
      <x:c r="F74" s="113"/>
      <x:c r="G74" s="113"/>
      <x:c r="H74" s="113"/>
      <x:c r="I74" s="113"/>
      <x:c r="J74" s="113"/>
      <x:c r="K74" s="113"/>
      <x:c r="L74" s="113"/>
      <x:c r="M74" s="113"/>
      <x:c r="N74" s="113"/>
      <x:c r="O74" s="113"/>
    </x:row>
    <x:row r="75">
      <x:c r="A75" s="113"/>
      <x:c r="B75" s="113"/>
      <x:c r="C75" s="113"/>
      <x:c r="D75" s="113"/>
      <x:c r="E75" s="113"/>
      <x:c r="F75" s="113"/>
      <x:c r="G75" s="113"/>
      <x:c r="H75" s="113"/>
      <x:c r="I75" s="113"/>
      <x:c r="J75" s="113"/>
      <x:c r="K75" s="113"/>
      <x:c r="L75" s="113"/>
      <x:c r="M75" s="113"/>
      <x:c r="N75" s="113"/>
      <x:c r="O75" s="113"/>
    </x:row>
    <x:row r="76">
      <x:c r="A76" s="113"/>
      <x:c r="B76" s="113"/>
      <x:c r="C76" s="113"/>
      <x:c r="D76" s="113"/>
      <x:c r="E76" s="113"/>
      <x:c r="F76" s="113"/>
      <x:c r="G76" s="113"/>
      <x:c r="H76" s="113"/>
      <x:c r="I76" s="113"/>
      <x:c r="J76" s="113"/>
      <x:c r="K76" s="113"/>
      <x:c r="L76" s="113"/>
      <x:c r="M76" s="113"/>
      <x:c r="N76" s="113"/>
      <x:c r="O76" s="113"/>
    </x:row>
    <x:row r="77">
      <x:c r="A77" s="113"/>
      <x:c r="B77" s="113"/>
      <x:c r="C77" s="113"/>
      <x:c r="D77" s="113"/>
      <x:c r="E77" s="113"/>
      <x:c r="F77" s="113"/>
      <x:c r="G77" s="113"/>
      <x:c r="H77" s="113"/>
      <x:c r="I77" s="113"/>
      <x:c r="J77" s="113"/>
      <x:c r="K77" s="113"/>
      <x:c r="L77" s="113"/>
      <x:c r="M77" s="113"/>
      <x:c r="N77" s="113"/>
      <x:c r="O77" s="113"/>
    </x:row>
    <x:row r="78">
      <x:c r="A78" s="113"/>
      <x:c r="B78" s="113"/>
      <x:c r="C78" s="113"/>
      <x:c r="D78" s="113"/>
      <x:c r="E78" s="113"/>
      <x:c r="F78" s="113"/>
      <x:c r="G78" s="113"/>
      <x:c r="H78" s="113"/>
      <x:c r="I78" s="113"/>
      <x:c r="J78" s="113"/>
      <x:c r="K78" s="113"/>
      <x:c r="L78" s="113"/>
      <x:c r="M78" s="113"/>
      <x:c r="N78" s="113"/>
      <x:c r="O78" s="113"/>
    </x:row>
    <x:row r="79">
      <x:c r="A79" s="113"/>
      <x:c r="B79" s="113"/>
      <x:c r="C79" s="113"/>
      <x:c r="D79" s="113"/>
      <x:c r="E79" s="113"/>
      <x:c r="F79" s="113"/>
      <x:c r="G79" s="113"/>
      <x:c r="H79" s="113"/>
      <x:c r="I79" s="113"/>
      <x:c r="J79" s="113"/>
      <x:c r="K79" s="113"/>
      <x:c r="L79" s="113"/>
      <x:c r="M79" s="113"/>
      <x:c r="N79" s="113"/>
      <x:c r="O79" s="113"/>
    </x:row>
    <x:row r="80">
      <x:c r="A80" s="113"/>
      <x:c r="B80" s="113"/>
      <x:c r="C80" s="113"/>
      <x:c r="D80" s="113"/>
      <x:c r="E80" s="113"/>
      <x:c r="F80" s="113"/>
      <x:c r="G80" s="113"/>
      <x:c r="H80" s="113"/>
      <x:c r="I80" s="113"/>
      <x:c r="J80" s="113"/>
      <x:c r="K80" s="113"/>
      <x:c r="L80" s="113"/>
      <x:c r="M80" s="113"/>
      <x:c r="N80" s="113"/>
      <x:c r="O80" s="113"/>
    </x:row>
    <x:row r="81">
      <x:c r="A81" s="113"/>
      <x:c r="B81" s="113"/>
      <x:c r="C81" s="113"/>
      <x:c r="D81" s="113"/>
      <x:c r="E81" s="113"/>
      <x:c r="F81" s="113"/>
      <x:c r="G81" s="113"/>
      <x:c r="H81" s="113"/>
      <x:c r="I81" s="113"/>
      <x:c r="J81" s="113"/>
      <x:c r="K81" s="113"/>
      <x:c r="L81" s="113"/>
      <x:c r="M81" s="113"/>
      <x:c r="N81" s="113"/>
      <x:c r="O81" s="113"/>
    </x:row>
    <x:row r="82">
      <x:c r="A82" s="113"/>
      <x:c r="B82" s="113"/>
      <x:c r="C82" s="113"/>
      <x:c r="D82" s="113"/>
      <x:c r="E82" s="113"/>
      <x:c r="F82" s="113"/>
      <x:c r="G82" s="113"/>
      <x:c r="H82" s="113"/>
      <x:c r="I82" s="113"/>
      <x:c r="J82" s="113"/>
      <x:c r="K82" s="113"/>
      <x:c r="L82" s="113"/>
      <x:c r="M82" s="113"/>
      <x:c r="N82" s="113"/>
      <x:c r="O82" s="113"/>
    </x:row>
    <x:row r="83">
      <x:c r="A83" s="113"/>
      <x:c r="B83" s="113"/>
      <x:c r="C83" s="113"/>
      <x:c r="D83" s="113"/>
      <x:c r="E83" s="113"/>
      <x:c r="F83" s="113"/>
      <x:c r="G83" s="113"/>
      <x:c r="H83" s="113"/>
      <x:c r="I83" s="113"/>
      <x:c r="J83" s="113"/>
      <x:c r="K83" s="113"/>
      <x:c r="L83" s="113"/>
      <x:c r="M83" s="113"/>
      <x:c r="N83" s="113"/>
      <x:c r="O83" s="113"/>
    </x:row>
    <x:row r="84">
      <x:c r="A84" s="113"/>
      <x:c r="B84" s="113"/>
      <x:c r="C84" s="113"/>
      <x:c r="D84" s="113"/>
      <x:c r="E84" s="113"/>
      <x:c r="F84" s="113"/>
      <x:c r="G84" s="113"/>
      <x:c r="H84" s="113"/>
      <x:c r="I84" s="113"/>
      <x:c r="J84" s="113"/>
      <x:c r="K84" s="113"/>
      <x:c r="L84" s="113"/>
      <x:c r="M84" s="113"/>
      <x:c r="N84" s="113"/>
      <x:c r="O84" s="113"/>
    </x:row>
    <x:row r="85">
      <x:c r="A85" s="113"/>
      <x:c r="B85" s="113"/>
      <x:c r="C85" s="113"/>
      <x:c r="D85" s="113"/>
      <x:c r="E85" s="113"/>
      <x:c r="F85" s="113"/>
      <x:c r="G85" s="113"/>
      <x:c r="H85" s="113"/>
      <x:c r="I85" s="113"/>
      <x:c r="J85" s="113"/>
      <x:c r="K85" s="113"/>
      <x:c r="L85" s="113"/>
      <x:c r="M85" s="113"/>
      <x:c r="N85" s="113"/>
      <x:c r="O85" s="113"/>
    </x:row>
    <x:row r="86">
      <x:c r="A86" s="113"/>
      <x:c r="B86" s="113"/>
      <x:c r="C86" s="113"/>
      <x:c r="D86" s="113"/>
      <x:c r="E86" s="113"/>
      <x:c r="F86" s="113"/>
      <x:c r="G86" s="113"/>
      <x:c r="H86" s="113"/>
      <x:c r="I86" s="113"/>
      <x:c r="J86" s="113"/>
      <x:c r="K86" s="113"/>
      <x:c r="L86" s="113"/>
      <x:c r="M86" s="113"/>
      <x:c r="N86" s="113"/>
      <x:c r="O86" s="113"/>
    </x:row>
    <x:row r="87">
      <x:c r="A87" s="113"/>
      <x:c r="B87" s="113"/>
      <x:c r="C87" s="113"/>
      <x:c r="D87" s="113"/>
      <x:c r="E87" s="113"/>
      <x:c r="F87" s="113"/>
      <x:c r="G87" s="113"/>
      <x:c r="H87" s="113"/>
      <x:c r="I87" s="113"/>
      <x:c r="J87" s="113"/>
      <x:c r="K87" s="113"/>
      <x:c r="L87" s="113"/>
      <x:c r="M87" s="113"/>
      <x:c r="N87" s="113"/>
      <x:c r="O87" s="113"/>
    </x:row>
    <x:row r="88">
      <x:c r="A88" s="113"/>
      <x:c r="B88" s="113"/>
      <x:c r="C88" s="113"/>
      <x:c r="D88" s="113"/>
      <x:c r="E88" s="113"/>
      <x:c r="F88" s="113"/>
      <x:c r="G88" s="113"/>
      <x:c r="H88" s="113"/>
      <x:c r="I88" s="113"/>
      <x:c r="J88" s="113"/>
      <x:c r="K88" s="113"/>
      <x:c r="L88" s="113"/>
      <x:c r="M88" s="113"/>
      <x:c r="N88" s="113"/>
      <x:c r="O88" s="113"/>
    </x:row>
    <x:row r="89">
      <x:c r="A89" s="113"/>
      <x:c r="B89" s="113"/>
      <x:c r="C89" s="113"/>
      <x:c r="D89" s="113"/>
      <x:c r="E89" s="113"/>
      <x:c r="F89" s="113"/>
      <x:c r="G89" s="113"/>
      <x:c r="H89" s="113"/>
      <x:c r="I89" s="113"/>
      <x:c r="J89" s="113"/>
      <x:c r="K89" s="113"/>
      <x:c r="L89" s="113"/>
      <x:c r="M89" s="113"/>
      <x:c r="N89" s="113"/>
      <x:c r="O89" s="113"/>
    </x:row>
    <x:row r="90">
      <x:c r="A90" s="113"/>
      <x:c r="B90" s="113"/>
      <x:c r="C90" s="113"/>
      <x:c r="D90" s="113"/>
      <x:c r="E90" s="113"/>
      <x:c r="F90" s="113"/>
      <x:c r="G90" s="113"/>
      <x:c r="H90" s="113"/>
      <x:c r="I90" s="113"/>
      <x:c r="J90" s="113"/>
      <x:c r="K90" s="113"/>
      <x:c r="L90" s="113"/>
      <x:c r="M90" s="113"/>
      <x:c r="N90" s="113"/>
      <x:c r="O90" s="113"/>
    </x:row>
    <x:row r="91">
      <x:c r="A91" s="113"/>
      <x:c r="B91" s="113"/>
      <x:c r="C91" s="113"/>
      <x:c r="D91" s="113"/>
      <x:c r="E91" s="113"/>
      <x:c r="F91" s="113"/>
      <x:c r="G91" s="113"/>
      <x:c r="H91" s="113"/>
      <x:c r="I91" s="113"/>
      <x:c r="J91" s="113"/>
      <x:c r="K91" s="113"/>
      <x:c r="L91" s="113"/>
      <x:c r="M91" s="113"/>
      <x:c r="N91" s="113"/>
      <x:c r="O91" s="113"/>
    </x:row>
    <x:row r="92">
      <x:c r="A92" s="113"/>
      <x:c r="B92" s="113"/>
      <x:c r="C92" s="113"/>
      <x:c r="D92" s="113"/>
      <x:c r="E92" s="113"/>
      <x:c r="F92" s="113"/>
      <x:c r="G92" s="113"/>
      <x:c r="H92" s="113"/>
      <x:c r="I92" s="113"/>
      <x:c r="J92" s="113"/>
      <x:c r="K92" s="113"/>
      <x:c r="L92" s="113"/>
      <x:c r="M92" s="113"/>
      <x:c r="N92" s="113"/>
      <x:c r="O92" s="113"/>
    </x:row>
    <x:row r="93">
      <x:c r="A93" s="113"/>
      <x:c r="B93" s="113"/>
      <x:c r="C93" s="113"/>
      <x:c r="D93" s="113"/>
      <x:c r="E93" s="113"/>
      <x:c r="F93" s="113"/>
      <x:c r="G93" s="113"/>
      <x:c r="H93" s="113"/>
      <x:c r="I93" s="113"/>
      <x:c r="J93" s="113"/>
      <x:c r="K93" s="113"/>
      <x:c r="L93" s="113"/>
      <x:c r="M93" s="113"/>
      <x:c r="N93" s="113"/>
      <x:c r="O93" s="113"/>
    </x:row>
    <x:row r="94">
      <x:c r="A94" s="113"/>
      <x:c r="B94" s="113"/>
      <x:c r="C94" s="113"/>
      <x:c r="D94" s="113"/>
      <x:c r="E94" s="113"/>
      <x:c r="F94" s="113"/>
      <x:c r="G94" s="113"/>
      <x:c r="H94" s="113"/>
      <x:c r="I94" s="113"/>
      <x:c r="J94" s="113"/>
      <x:c r="K94" s="113"/>
      <x:c r="L94" s="113"/>
      <x:c r="M94" s="113"/>
      <x:c r="N94" s="113"/>
      <x:c r="O94" s="113"/>
    </x:row>
    <x:row r="95">
      <x:c r="A95" s="113"/>
      <x:c r="B95" s="113"/>
      <x:c r="C95" s="113"/>
      <x:c r="D95" s="113"/>
      <x:c r="E95" s="113"/>
      <x:c r="F95" s="113"/>
      <x:c r="G95" s="113"/>
      <x:c r="H95" s="113"/>
      <x:c r="I95" s="113"/>
      <x:c r="J95" s="113"/>
      <x:c r="K95" s="113"/>
      <x:c r="L95" s="113"/>
      <x:c r="M95" s="113"/>
      <x:c r="N95" s="113"/>
      <x:c r="O95" s="113"/>
    </x:row>
    <x:row r="96">
      <x:c r="A96" s="113"/>
      <x:c r="B96" s="113"/>
      <x:c r="C96" s="113"/>
      <x:c r="D96" s="113"/>
      <x:c r="E96" s="113"/>
      <x:c r="F96" s="113"/>
      <x:c r="G96" s="113"/>
      <x:c r="H96" s="113"/>
      <x:c r="I96" s="113"/>
      <x:c r="J96" s="113"/>
      <x:c r="K96" s="113"/>
      <x:c r="L96" s="113"/>
      <x:c r="M96" s="113"/>
      <x:c r="N96" s="113"/>
      <x:c r="O96" s="113"/>
    </x:row>
    <x:row r="97">
      <x:c r="A97" s="113"/>
      <x:c r="B97" s="113"/>
      <x:c r="C97" s="113"/>
      <x:c r="D97" s="113"/>
      <x:c r="E97" s="113"/>
      <x:c r="F97" s="113"/>
      <x:c r="G97" s="113"/>
      <x:c r="H97" s="113"/>
      <x:c r="I97" s="113"/>
      <x:c r="J97" s="113"/>
      <x:c r="K97" s="113"/>
      <x:c r="L97" s="113"/>
      <x:c r="M97" s="113"/>
      <x:c r="N97" s="113"/>
      <x:c r="O97" s="113"/>
    </x:row>
    <x:row r="98">
      <x:c r="A98" s="113"/>
      <x:c r="B98" s="113"/>
      <x:c r="C98" s="113"/>
      <x:c r="D98" s="113"/>
      <x:c r="E98" s="113"/>
      <x:c r="F98" s="113"/>
      <x:c r="G98" s="113"/>
      <x:c r="H98" s="113"/>
      <x:c r="I98" s="113"/>
      <x:c r="J98" s="113"/>
      <x:c r="K98" s="113"/>
      <x:c r="L98" s="113"/>
      <x:c r="M98" s="113"/>
      <x:c r="N98" s="113"/>
      <x:c r="O98" s="113"/>
    </x:row>
    <x:row r="99">
      <x:c r="A99" s="113"/>
      <x:c r="B99" s="113"/>
      <x:c r="C99" s="113"/>
      <x:c r="D99" s="113"/>
      <x:c r="E99" s="113"/>
      <x:c r="F99" s="113"/>
      <x:c r="G99" s="113"/>
      <x:c r="H99" s="113"/>
      <x:c r="I99" s="113"/>
      <x:c r="J99" s="113"/>
      <x:c r="K99" s="113"/>
      <x:c r="L99" s="113"/>
      <x:c r="M99" s="113"/>
      <x:c r="N99" s="113"/>
      <x:c r="O99" s="113"/>
    </x:row>
    <x:row r="100">
      <x:c r="A100" s="113"/>
      <x:c r="B100" s="113"/>
      <x:c r="C100" s="113"/>
      <x:c r="D100" s="113"/>
      <x:c r="E100" s="113"/>
      <x:c r="F100" s="113"/>
      <x:c r="G100" s="113"/>
      <x:c r="H100" s="113"/>
      <x:c r="I100" s="113"/>
      <x:c r="J100" s="113"/>
      <x:c r="K100" s="113"/>
      <x:c r="L100" s="113"/>
      <x:c r="M100" s="113"/>
      <x:c r="N100" s="113"/>
      <x:c r="O100" s="113"/>
    </x:row>
    <x:row r="101">
      <x:c r="A101" s="113"/>
      <x:c r="B101" s="113"/>
      <x:c r="C101" s="113"/>
      <x:c r="D101" s="113"/>
      <x:c r="E101" s="113"/>
      <x:c r="F101" s="113"/>
      <x:c r="G101" s="113"/>
      <x:c r="H101" s="113"/>
      <x:c r="I101" s="113"/>
      <x:c r="J101" s="113"/>
      <x:c r="K101" s="113"/>
      <x:c r="L101" s="113"/>
      <x:c r="M101" s="113"/>
      <x:c r="N101" s="113"/>
      <x:c r="O101" s="113"/>
    </x:row>
    <x:row r="102">
      <x:c r="A102" s="113"/>
      <x:c r="B102" s="113"/>
      <x:c r="C102" s="113"/>
      <x:c r="D102" s="113"/>
      <x:c r="E102" s="113"/>
      <x:c r="F102" s="113"/>
      <x:c r="G102" s="113"/>
      <x:c r="H102" s="113"/>
      <x:c r="I102" s="113"/>
      <x:c r="J102" s="113"/>
      <x:c r="K102" s="113"/>
      <x:c r="L102" s="113"/>
      <x:c r="M102" s="113"/>
      <x:c r="N102" s="113"/>
      <x:c r="O102" s="113"/>
    </x:row>
    <x:row r="103">
      <x:c r="A103" s="113"/>
      <x:c r="B103" s="113"/>
      <x:c r="C103" s="113"/>
      <x:c r="D103" s="113"/>
      <x:c r="E103" s="113"/>
      <x:c r="F103" s="113"/>
      <x:c r="G103" s="113"/>
      <x:c r="H103" s="113"/>
      <x:c r="I103" s="113"/>
      <x:c r="J103" s="113"/>
      <x:c r="K103" s="113"/>
      <x:c r="L103" s="113"/>
      <x:c r="M103" s="113"/>
      <x:c r="N103" s="113"/>
      <x:c r="O103" s="113"/>
    </x:row>
    <x:row r="104">
      <x:c r="A104" s="113"/>
      <x:c r="B104" s="113"/>
      <x:c r="C104" s="113"/>
      <x:c r="D104" s="113"/>
      <x:c r="E104" s="113"/>
      <x:c r="F104" s="113"/>
      <x:c r="G104" s="113"/>
      <x:c r="H104" s="113"/>
      <x:c r="I104" s="113"/>
      <x:c r="J104" s="113"/>
      <x:c r="K104" s="113"/>
      <x:c r="L104" s="113"/>
      <x:c r="M104" s="113"/>
      <x:c r="N104" s="113"/>
      <x:c r="O104" s="113"/>
    </x:row>
    <x:row r="105">
      <x:c r="A105" s="113"/>
      <x:c r="B105" s="113"/>
      <x:c r="C105" s="113"/>
      <x:c r="D105" s="113"/>
      <x:c r="E105" s="113"/>
      <x:c r="F105" s="113"/>
      <x:c r="G105" s="113"/>
      <x:c r="H105" s="113"/>
      <x:c r="I105" s="113"/>
      <x:c r="J105" s="113"/>
      <x:c r="K105" s="113"/>
      <x:c r="L105" s="113"/>
      <x:c r="M105" s="113"/>
      <x:c r="N105" s="113"/>
      <x:c r="O105" s="113"/>
    </x:row>
    <x:row r="106">
      <x:c r="A106" s="113"/>
      <x:c r="B106" s="113"/>
      <x:c r="C106" s="113"/>
      <x:c r="D106" s="113"/>
      <x:c r="E106" s="113"/>
      <x:c r="F106" s="113"/>
      <x:c r="G106" s="113"/>
      <x:c r="H106" s="113"/>
      <x:c r="I106" s="113"/>
      <x:c r="J106" s="113"/>
      <x:c r="K106" s="113"/>
      <x:c r="L106" s="113"/>
      <x:c r="M106" s="113"/>
      <x:c r="N106" s="113"/>
      <x:c r="O106" s="113"/>
    </x:row>
    <x:row r="107">
      <x:c r="A107" s="113"/>
      <x:c r="B107" s="113"/>
      <x:c r="C107" s="113"/>
      <x:c r="D107" s="113"/>
      <x:c r="E107" s="113"/>
      <x:c r="F107" s="113"/>
      <x:c r="G107" s="113"/>
      <x:c r="H107" s="113"/>
      <x:c r="I107" s="113"/>
      <x:c r="J107" s="113"/>
      <x:c r="K107" s="113"/>
      <x:c r="L107" s="113"/>
      <x:c r="M107" s="113"/>
      <x:c r="N107" s="113"/>
      <x:c r="O107" s="113"/>
    </x:row>
    <x:row r="108">
      <x:c r="A108" s="113"/>
      <x:c r="B108" s="113"/>
      <x:c r="C108" s="113"/>
      <x:c r="D108" s="113"/>
      <x:c r="E108" s="113"/>
      <x:c r="F108" s="113"/>
      <x:c r="G108" s="113"/>
      <x:c r="H108" s="113"/>
      <x:c r="I108" s="113"/>
      <x:c r="J108" s="113"/>
      <x:c r="K108" s="113"/>
      <x:c r="L108" s="113"/>
      <x:c r="M108" s="113"/>
      <x:c r="N108" s="113"/>
      <x:c r="O108" s="113"/>
    </x:row>
    <x:row r="109">
      <x:c r="A109" s="113"/>
      <x:c r="B109" s="113"/>
      <x:c r="C109" s="113"/>
      <x:c r="D109" s="113"/>
      <x:c r="E109" s="113"/>
      <x:c r="F109" s="113"/>
      <x:c r="G109" s="113"/>
      <x:c r="H109" s="113"/>
      <x:c r="I109" s="113"/>
      <x:c r="J109" s="113"/>
      <x:c r="K109" s="113"/>
      <x:c r="L109" s="113"/>
      <x:c r="M109" s="113"/>
      <x:c r="N109" s="113"/>
      <x:c r="O109" s="113"/>
    </x:row>
    <x:row r="110">
      <x:c r="A110" s="113"/>
      <x:c r="B110" s="113"/>
      <x:c r="C110" s="113"/>
      <x:c r="D110" s="113"/>
      <x:c r="E110" s="113"/>
      <x:c r="F110" s="113"/>
      <x:c r="G110" s="113"/>
      <x:c r="H110" s="113"/>
      <x:c r="I110" s="113"/>
      <x:c r="J110" s="113"/>
      <x:c r="K110" s="113"/>
      <x:c r="L110" s="113"/>
      <x:c r="M110" s="113"/>
      <x:c r="N110" s="113"/>
      <x:c r="O110" s="113"/>
    </x:row>
    <x:row r="111">
      <x:c r="A111" s="113"/>
      <x:c r="B111" s="113"/>
      <x:c r="C111" s="113"/>
      <x:c r="D111" s="113"/>
      <x:c r="E111" s="113"/>
      <x:c r="F111" s="113"/>
      <x:c r="G111" s="113"/>
      <x:c r="H111" s="113"/>
      <x:c r="I111" s="113"/>
      <x:c r="J111" s="113"/>
      <x:c r="K111" s="113"/>
      <x:c r="L111" s="113"/>
      <x:c r="M111" s="113"/>
      <x:c r="N111" s="113"/>
      <x:c r="O111" s="113"/>
    </x:row>
    <x:row r="112">
      <x:c r="A112" s="113"/>
      <x:c r="B112" s="113"/>
      <x:c r="C112" s="113"/>
      <x:c r="D112" s="113"/>
      <x:c r="E112" s="113"/>
      <x:c r="F112" s="113"/>
      <x:c r="G112" s="113"/>
      <x:c r="H112" s="113"/>
      <x:c r="I112" s="113"/>
      <x:c r="J112" s="113"/>
      <x:c r="K112" s="113"/>
      <x:c r="L112" s="113"/>
      <x:c r="M112" s="113"/>
      <x:c r="N112" s="113"/>
      <x:c r="O112" s="113"/>
    </x:row>
    <x:row r="113">
      <x:c r="A113" s="113"/>
      <x:c r="B113" s="113"/>
      <x:c r="C113" s="113"/>
      <x:c r="D113" s="113"/>
      <x:c r="E113" s="113"/>
      <x:c r="F113" s="113"/>
      <x:c r="G113" s="113"/>
      <x:c r="H113" s="113"/>
      <x:c r="I113" s="113"/>
      <x:c r="J113" s="113"/>
      <x:c r="K113" s="113"/>
      <x:c r="L113" s="113"/>
      <x:c r="M113" s="113"/>
      <x:c r="N113" s="113"/>
      <x:c r="O113" s="113"/>
    </x:row>
    <x:row r="114">
      <x:c r="A114" s="113"/>
      <x:c r="B114" s="113"/>
      <x:c r="C114" s="113"/>
      <x:c r="D114" s="113"/>
      <x:c r="E114" s="113"/>
      <x:c r="F114" s="113"/>
      <x:c r="G114" s="113"/>
      <x:c r="H114" s="113"/>
      <x:c r="I114" s="113"/>
      <x:c r="J114" s="113"/>
      <x:c r="K114" s="113"/>
      <x:c r="L114" s="113"/>
      <x:c r="M114" s="113"/>
      <x:c r="N114" s="113"/>
      <x:c r="O114" s="113"/>
    </x:row>
    <x:row r="115">
      <x:c r="A115" s="113"/>
      <x:c r="B115" s="113"/>
      <x:c r="C115" s="113"/>
      <x:c r="D115" s="113"/>
      <x:c r="E115" s="113"/>
      <x:c r="F115" s="113"/>
      <x:c r="G115" s="113"/>
      <x:c r="H115" s="113"/>
      <x:c r="I115" s="113"/>
      <x:c r="J115" s="113"/>
      <x:c r="K115" s="113"/>
      <x:c r="L115" s="113"/>
      <x:c r="M115" s="113"/>
      <x:c r="N115" s="113"/>
      <x:c r="O115" s="113"/>
    </x:row>
    <x:row r="116">
      <x:c r="A116" s="113"/>
      <x:c r="B116" s="113"/>
      <x:c r="C116" s="113"/>
      <x:c r="D116" s="113"/>
      <x:c r="E116" s="113"/>
      <x:c r="F116" s="113"/>
      <x:c r="G116" s="113"/>
      <x:c r="H116" s="113"/>
      <x:c r="I116" s="113"/>
      <x:c r="J116" s="113"/>
      <x:c r="K116" s="113"/>
      <x:c r="L116" s="113"/>
      <x:c r="M116" s="113"/>
      <x:c r="N116" s="113"/>
      <x:c r="O116" s="113"/>
    </x:row>
    <x:row r="117">
      <x:c r="A117" s="113"/>
      <x:c r="B117" s="113"/>
      <x:c r="C117" s="113"/>
      <x:c r="D117" s="113"/>
      <x:c r="E117" s="113"/>
      <x:c r="F117" s="113"/>
      <x:c r="G117" s="113"/>
      <x:c r="H117" s="113"/>
      <x:c r="I117" s="113"/>
      <x:c r="J117" s="113"/>
      <x:c r="K117" s="113"/>
      <x:c r="L117" s="113"/>
      <x:c r="M117" s="113"/>
      <x:c r="N117" s="113"/>
      <x:c r="O117" s="113"/>
    </x:row>
    <x:row r="118">
      <x:c r="A118" s="113"/>
      <x:c r="B118" s="113"/>
      <x:c r="C118" s="113"/>
      <x:c r="D118" s="113"/>
      <x:c r="E118" s="113"/>
      <x:c r="F118" s="113"/>
      <x:c r="G118" s="113"/>
      <x:c r="H118" s="113"/>
      <x:c r="I118" s="113"/>
      <x:c r="J118" s="113"/>
      <x:c r="K118" s="113"/>
      <x:c r="L118" s="113"/>
      <x:c r="M118" s="113"/>
      <x:c r="N118" s="113"/>
      <x:c r="O118" s="113"/>
    </x:row>
    <x:row r="119">
      <x:c r="A119" s="113"/>
      <x:c r="B119" s="113"/>
      <x:c r="C119" s="113"/>
      <x:c r="D119" s="113"/>
      <x:c r="E119" s="113"/>
      <x:c r="F119" s="113"/>
      <x:c r="G119" s="113"/>
      <x:c r="H119" s="113"/>
      <x:c r="I119" s="113"/>
      <x:c r="J119" s="113"/>
      <x:c r="K119" s="113"/>
      <x:c r="L119" s="113"/>
      <x:c r="M119" s="113"/>
      <x:c r="N119" s="113"/>
      <x:c r="O119" s="113"/>
    </x:row>
    <x:row r="120">
      <x:c r="A120" s="113"/>
      <x:c r="B120" s="113"/>
      <x:c r="C120" s="113"/>
      <x:c r="D120" s="113"/>
      <x:c r="E120" s="113"/>
      <x:c r="F120" s="113"/>
      <x:c r="G120" s="113"/>
      <x:c r="H120" s="113"/>
      <x:c r="I120" s="113"/>
      <x:c r="J120" s="113"/>
      <x:c r="K120" s="113"/>
      <x:c r="L120" s="113"/>
      <x:c r="M120" s="113"/>
      <x:c r="N120" s="113"/>
      <x:c r="O120" s="113"/>
    </x:row>
  </x:sheetData>
  <x:mergeCells>
    <x:mergeCell ref="A1:L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40" hidden="0" customWidth="1"/>
    <x:col min="5" max="5" width="24" hidden="0" customWidth="1"/>
    <x:col min="6" max="6" width="24" hidden="0" customWidth="1"/>
    <x:col min="7" max="7" width="28" hidden="0" customWidth="1"/>
    <x:col min="8" max="8" width="16" hidden="0" customWidth="1"/>
    <x:col min="9" max="9" width="16" hidden="0" customWidth="1"/>
    <x:col min="10" max="10" width="14" hidden="0" customWidth="1"/>
    <x:col min="11" max="11" width="34" hidden="0" customWidth="1"/>
    <x:col min="12" max="12" width="16" hidden="0" customWidth="1"/>
  </x:cols>
  <x:sheetData>
    <x:row r="1" ht="28" customHeight="1">
      <x:c r="A1" s="77" t="str">
        <x:v>主数据、标准、治理与FHIR接口目录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113"/>
      <x:c r="N1" s="113"/>
      <x:c r="O1" s="113"/>
    </x:row>
    <x:row r="2">
      <x:c r="A2" s="113"/>
      <x:c r="B2" s="113"/>
      <x:c r="C2" s="113"/>
      <x:c r="D2" s="113"/>
      <x:c r="E2" s="113"/>
      <x:c r="F2" s="113"/>
      <x:c r="G2" s="113"/>
      <x:c r="H2" s="113"/>
      <x:c r="I2" s="113"/>
      <x:c r="J2" s="113"/>
      <x:c r="K2" s="113"/>
      <x:c r="L2" s="113"/>
      <x:c r="M2" s="113"/>
      <x:c r="N2" s="113"/>
      <x:c r="O2" s="113"/>
    </x:row>
    <x:row r="3">
      <x:c r="A3" s="113"/>
      <x:c r="B3" s="113"/>
      <x:c r="C3" s="113"/>
      <x:c r="D3" s="113"/>
      <x:c r="E3" s="113"/>
      <x:c r="F3" s="113"/>
      <x:c r="G3" s="113"/>
      <x:c r="H3" s="113"/>
      <x:c r="I3" s="113"/>
      <x:c r="J3" s="113"/>
      <x:c r="K3" s="113"/>
      <x:c r="L3" s="113"/>
      <x:c r="M3" s="113"/>
      <x:c r="N3" s="113"/>
      <x:c r="O3" s="113"/>
    </x:row>
    <x:row r="4">
      <x:c r="A4" s="80" t="str">
        <x:v>接口编号</x:v>
      </x:c>
      <x:c r="B4" s="81" t="str">
        <x:v>协议</x:v>
      </x:c>
      <x:c r="C4" s="81" t="str">
        <x:v>方法/事件</x:v>
      </x:c>
      <x:c r="D4" s="81" t="str">
        <x:v>路径/Topic</x:v>
      </x:c>
      <x:c r="E4" s="81" t="str">
        <x:v>用途</x:v>
      </x:c>
      <x:c r="F4" s="81" t="str">
        <x:v>调用方</x:v>
      </x:c>
      <x:c r="G4" s="81" t="str">
        <x:v>认证授权</x:v>
      </x:c>
      <x:c r="H4" s="81" t="str">
        <x:v>幂等</x:v>
      </x:c>
      <x:c r="I4" s="81" t="str">
        <x:v>P95目标</x:v>
      </x:c>
      <x:c r="J4" s="81" t="str">
        <x:v>数据敏感级</x:v>
      </x:c>
      <x:c r="K4" s="81" t="str">
        <x:v>失败策略</x:v>
      </x:c>
      <x:c r="L4" s="82" t="str">
        <x:v>Owner</x:v>
      </x:c>
      <x:c r="M4" s="113"/>
      <x:c r="N4" s="113"/>
      <x:c r="O4" s="113"/>
    </x:row>
    <x:row r="5">
      <x:c r="A5" s="115" t="str">
        <x:v>API-PAT-001</x:v>
      </x:c>
      <x:c r="B5" s="116" t="str">
        <x:v>REST</x:v>
      </x:c>
      <x:c r="C5" s="116" t="str">
        <x:v>GET</x:v>
      </x:c>
      <x:c r="D5" s="116" t="str">
        <x:v>/api/v1/master-data/patients/{empiNo}</x:v>
      </x:c>
      <x:c r="E5" s="116" t="str">
        <x:v>患者金记录查询</x:v>
      </x:c>
      <x:c r="F5" s="116" t="str">
        <x:v>HIS/EMR/CDR</x:v>
      </x:c>
      <x:c r="G5" s="116" t="str">
        <x:v>OAuth2 scope+字段ABAC</x:v>
      </x:c>
      <x:c r="H5" s="116" t="str">
        <x:v>GET天然幂等</x:v>
      </x:c>
      <x:c r="I5" s="116" t="str">
        <x:v>&lt;=500ms</x:v>
      </x:c>
      <x:c r="J5" s="116" t="str">
        <x:v>高</x:v>
      </x:c>
      <x:c r="K5" s="116" t="str">
        <x:v>缓存/降级/不返回未授权字段</x:v>
      </x:c>
      <x:c r="L5" s="119" t="str">
        <x:v>MDM组</x:v>
      </x:c>
      <x:c r="M5" s="113"/>
      <x:c r="N5" s="113"/>
      <x:c r="O5" s="113"/>
    </x:row>
    <x:row r="6">
      <x:c r="A6" s="115" t="str">
        <x:v>API-PAT-002</x:v>
      </x:c>
      <x:c r="B6" s="116" t="str">
        <x:v>REST</x:v>
      </x:c>
      <x:c r="C6" s="116" t="str">
        <x:v>POST</x:v>
      </x:c>
      <x:c r="D6" s="116" t="str">
        <x:v>/api/v1/master-data/patients:match</x:v>
      </x:c>
      <x:c r="E6" s="116" t="str">
        <x:v>患者候选匹配</x:v>
      </x:c>
      <x:c r="F6" s="116" t="str">
        <x:v>挂号/互联网医院</x:v>
      </x:c>
      <x:c r="G6" s="116" t="str">
        <x:v>mTLS+mdm.match</x:v>
      </x:c>
      <x:c r="H6" s="116" t="str">
        <x:v>Idempotency-Key</x:v>
      </x:c>
      <x:c r="I6" s="116" t="str">
        <x:v>&lt;=800ms</x:v>
      </x:c>
      <x:c r="J6" s="116" t="str">
        <x:v>极高</x:v>
      </x:c>
      <x:c r="K6" s="116" t="str">
        <x:v>超时进入人工/临时号，不阻断急诊</x:v>
      </x:c>
      <x:c r="L6" s="119" t="str">
        <x:v>EMPI组</x:v>
      </x:c>
      <x:c r="M6" s="113"/>
      <x:c r="N6" s="113"/>
      <x:c r="O6" s="113"/>
    </x:row>
    <x:row r="7">
      <x:c r="A7" s="115" t="str">
        <x:v>API-PAT-003</x:v>
      </x:c>
      <x:c r="B7" s="116" t="str">
        <x:v>REST</x:v>
      </x:c>
      <x:c r="C7" s="116" t="str">
        <x:v>POST</x:v>
      </x:c>
      <x:c r="D7" s="116" t="str">
        <x:v>/api/v1/master-data/patients/{id}:merge</x:v>
      </x:c>
      <x:c r="E7" s="116" t="str">
        <x:v>合并申请</x:v>
      </x:c>
      <x:c r="F7" s="116" t="str">
        <x:v>患者管理工作台</x:v>
      </x:c>
      <x:c r="G7" s="116" t="str">
        <x:v>MFA+mdm.merge+工单</x:v>
      </x:c>
      <x:c r="H7" s="116" t="str">
        <x:v>Idempotency-Key</x:v>
      </x:c>
      <x:c r="I7" s="116" t="str">
        <x:v>异步</x:v>
      </x:c>
      <x:c r="J7" s="116" t="str">
        <x:v>极高</x:v>
      </x:c>
      <x:c r="K7" s="116" t="str">
        <x:v>202审批；禁止直接同步合并</x:v>
      </x:c>
      <x:c r="L7" s="119" t="str">
        <x:v>医务/病案</x:v>
      </x:c>
      <x:c r="M7" s="113"/>
      <x:c r="N7" s="113"/>
      <x:c r="O7" s="113"/>
    </x:row>
    <x:row r="8">
      <x:c r="A8" s="115" t="str">
        <x:v>API-ORG-001</x:v>
      </x:c>
      <x:c r="B8" s="116" t="str">
        <x:v>REST</x:v>
      </x:c>
      <x:c r="C8" s="116" t="str">
        <x:v>GET</x:v>
      </x:c>
      <x:c r="D8" s="116" t="str">
        <x:v>/api/v1/master-data/organizations</x:v>
      </x:c>
      <x:c r="E8" s="116" t="str">
        <x:v>组织树/增量</x:v>
      </x:c>
      <x:c r="F8" s="116" t="str">
        <x:v>全院系统</x:v>
      </x:c>
      <x:c r="G8" s="116" t="str">
        <x:v>OAuth2 mdm.read</x:v>
      </x:c>
      <x:c r="H8" s="116" t="str">
        <x:v>GET</x:v>
      </x:c>
      <x:c r="I8" s="116" t="str">
        <x:v>&lt;=300ms</x:v>
      </x:c>
      <x:c r="J8" s="116" t="str">
        <x:v>内部</x:v>
      </x:c>
      <x:c r="K8" s="116" t="str">
        <x:v>本地缓存+版本校验</x:v>
      </x:c>
      <x:c r="L8" s="119" t="str">
        <x:v>组织人事</x:v>
      </x:c>
      <x:c r="M8" s="113"/>
      <x:c r="N8" s="113"/>
      <x:c r="O8" s="113"/>
    </x:row>
    <x:row r="9">
      <x:c r="A9" s="115" t="str">
        <x:v>API-ORG-002</x:v>
      </x:c>
      <x:c r="B9" s="116" t="str">
        <x:v>REST</x:v>
      </x:c>
      <x:c r="C9" s="116" t="str">
        <x:v>POST</x:v>
      </x:c>
      <x:c r="D9" s="116" t="str">
        <x:v>/api/v1/master-data/organizations</x:v>
      </x:c>
      <x:c r="E9" s="116" t="str">
        <x:v>组织变更申请</x:v>
      </x:c>
      <x:c r="F9" s="116" t="str">
        <x:v>人资/医务</x:v>
      </x:c>
      <x:c r="G9" s="116" t="str">
        <x:v>MFA+write scope</x:v>
      </x:c>
      <x:c r="H9" s="116" t="str">
        <x:v>Idempotency-Key</x:v>
      </x:c>
      <x:c r="I9" s="116" t="str">
        <x:v>异步</x:v>
      </x:c>
      <x:c r="J9" s="116" t="str">
        <x:v>内部</x:v>
      </x:c>
      <x:c r="K9" s="116" t="str">
        <x:v>影响分析+灰度发布</x:v>
      </x:c>
      <x:c r="L9" s="119" t="str">
        <x:v>组织人事</x:v>
      </x:c>
      <x:c r="M9" s="113"/>
      <x:c r="N9" s="113"/>
      <x:c r="O9" s="113"/>
    </x:row>
    <x:row r="10">
      <x:c r="A10" s="115" t="str">
        <x:v>API-STAFF-001</x:v>
      </x:c>
      <x:c r="B10" s="116" t="str">
        <x:v>REST</x:v>
      </x:c>
      <x:c r="C10" s="116" t="str">
        <x:v>GET</x:v>
      </x:c>
      <x:c r="D10" s="116" t="str">
        <x:v>/api/v1/master-data/practitioners/{no}</x:v>
      </x:c>
      <x:c r="E10" s="116" t="str">
        <x:v>人员与角色查询</x:v>
      </x:c>
      <x:c r="F10" s="116" t="str">
        <x:v>HIS/EMR/IAM/排班</x:v>
      </x:c>
      <x:c r="G10" s="116" t="str">
        <x:v>OAuth2+用途</x:v>
      </x:c>
      <x:c r="H10" s="116" t="str">
        <x:v>GET</x:v>
      </x:c>
      <x:c r="I10" s="116" t="str">
        <x:v>&lt;=300ms</x:v>
      </x:c>
      <x:c r="J10" s="116" t="str">
        <x:v>敏感</x:v>
      </x:c>
      <x:c r="K10" s="116" t="str">
        <x:v>离职状态强一致缓存失效</x:v>
      </x:c>
      <x:c r="L10" s="119" t="str">
        <x:v>人资</x:v>
      </x:c>
      <x:c r="M10" s="113"/>
      <x:c r="N10" s="113"/>
      <x:c r="O10" s="113"/>
    </x:row>
    <x:row r="11">
      <x:c r="A11" s="115" t="str">
        <x:v>API-REF-001</x:v>
      </x:c>
      <x:c r="B11" s="116" t="str">
        <x:v>REST/FHIR</x:v>
      </x:c>
      <x:c r="C11" s="116" t="str">
        <x:v>GET</x:v>
      </x:c>
      <x:c r="D11" s="116" t="str">
        <x:v>/api/v1/reference/value-sets/{code}</x:v>
      </x:c>
      <x:c r="E11" s="116" t="str">
        <x:v>值域指定版本</x:v>
      </x:c>
      <x:c r="F11" s="116" t="str">
        <x:v>全院系统</x:v>
      </x:c>
      <x:c r="G11" s="116" t="str">
        <x:v>OAuth2或受控公开</x:v>
      </x:c>
      <x:c r="H11" s="116" t="str">
        <x:v>GET</x:v>
      </x:c>
      <x:c r="I11" s="116" t="str">
        <x:v>&lt;=300ms</x:v>
      </x:c>
      <x:c r="J11" s="116" t="str">
        <x:v>内部</x:v>
      </x:c>
      <x:c r="K11" s="116" t="str">
        <x:v>ETag/本地缓存/版本回退</x:v>
      </x:c>
      <x:c r="L11" s="119" t="str">
        <x:v>标准组</x:v>
      </x:c>
      <x:c r="M11" s="113"/>
      <x:c r="N11" s="113"/>
      <x:c r="O11" s="113"/>
    </x:row>
    <x:row r="12">
      <x:c r="A12" s="115" t="str">
        <x:v>API-REF-002</x:v>
      </x:c>
      <x:c r="B12" s="116" t="str">
        <x:v>REST/FHIR</x:v>
      </x:c>
      <x:c r="C12" s="116" t="str">
        <x:v>POST</x:v>
      </x:c>
      <x:c r="D12" s="116" t="str">
        <x:v>/api/v1/reference/concept-maps/{code}:translate</x:v>
      </x:c>
      <x:c r="E12" s="116" t="str">
        <x:v>编码映射</x:v>
      </x:c>
      <x:c r="F12" s="116" t="str">
        <x:v>ETL/科研/接口</x:v>
      </x:c>
      <x:c r="G12" s="116" t="str">
        <x:v>服务账号+scope</x:v>
      </x:c>
      <x:c r="H12" s="116" t="str">
        <x:v>请求哈希</x:v>
      </x:c>
      <x:c r="I12" s="116" t="str">
        <x:v>&lt;=500ms</x:v>
      </x:c>
      <x:c r="J12" s="116" t="str">
        <x:v>内部</x:v>
      </x:c>
      <x:c r="K12" s="116" t="str">
        <x:v>无法映射返回人工核验标识</x:v>
      </x:c>
      <x:c r="L12" s="119" t="str">
        <x:v>标准组</x:v>
      </x:c>
      <x:c r="M12" s="113"/>
      <x:c r="N12" s="113"/>
      <x:c r="O12" s="113"/>
    </x:row>
    <x:row r="13">
      <x:c r="A13" s="115" t="str">
        <x:v>FHIR-001</x:v>
      </x:c>
      <x:c r="B13" s="116" t="str">
        <x:v>FHIR R4</x:v>
      </x:c>
      <x:c r="C13" s="116" t="str">
        <x:v>GET/SEARCH</x:v>
      </x:c>
      <x:c r="D13" s="116" t="str">
        <x:v>/fhir/r4/Patient</x:v>
      </x:c>
      <x:c r="E13" s="116" t="str">
        <x:v>患者查询/互操作</x:v>
      </x:c>
      <x:c r="F13" s="116" t="str">
        <x:v>平台/区域协同</x:v>
      </x:c>
      <x:c r="G13" s="116" t="str">
        <x:v>SMART/OAuth2+mTLS</x:v>
      </x:c>
      <x:c r="H13" s="116" t="str">
        <x:v>GET</x:v>
      </x:c>
      <x:c r="I13" s="116" t="str">
        <x:v>&lt;=800ms</x:v>
      </x:c>
      <x:c r="J13" s="116" t="str">
        <x:v>极高</x:v>
      </x:c>
      <x:c r="K13" s="116" t="str">
        <x:v>字段裁剪、审计、分页</x:v>
      </x:c>
      <x:c r="L13" s="119" t="str">
        <x:v>FHIR组</x:v>
      </x:c>
      <x:c r="M13" s="113"/>
      <x:c r="N13" s="113"/>
      <x:c r="O13" s="113"/>
    </x:row>
    <x:row r="14">
      <x:c r="A14" s="115" t="str">
        <x:v>FHIR-002</x:v>
      </x:c>
      <x:c r="B14" s="116" t="str">
        <x:v>FHIR R4</x:v>
      </x:c>
      <x:c r="C14" s="116" t="str">
        <x:v>POST</x:v>
      </x:c>
      <x:c r="D14" s="116" t="str">
        <x:v>/fhir/r4/Patient/$match</x:v>
      </x:c>
      <x:c r="E14" s="116" t="str">
        <x:v>患者匹配</x:v>
      </x:c>
      <x:c r="F14" s="116" t="str">
        <x:v>区域/院内应用</x:v>
      </x:c>
      <x:c r="G14" s="116" t="str">
        <x:v>专用scope</x:v>
      </x:c>
      <x:c r="H14" s="116" t="str">
        <x:v>Idempotency-Key</x:v>
      </x:c>
      <x:c r="I14" s="116" t="str">
        <x:v>&lt;=1s</x:v>
      </x:c>
      <x:c r="J14" s="116" t="str">
        <x:v>极高</x:v>
      </x:c>
      <x:c r="K14" s="116" t="str">
        <x:v>只返回候选，不默认合并</x:v>
      </x:c>
      <x:c r="L14" s="119" t="str">
        <x:v>FHIR/EMPI</x:v>
      </x:c>
      <x:c r="M14" s="113"/>
      <x:c r="N14" s="113"/>
      <x:c r="O14" s="113"/>
    </x:row>
    <x:row r="15">
      <x:c r="A15" s="115" t="str">
        <x:v>FHIR-003</x:v>
      </x:c>
      <x:c r="B15" s="116" t="str">
        <x:v>FHIR R4</x:v>
      </x:c>
      <x:c r="C15" s="116" t="str">
        <x:v>GET</x:v>
      </x:c>
      <x:c r="D15" s="116" t="str">
        <x:v>/fhir/r4/Organization</x:v>
      </x:c>
      <x:c r="E15" s="116" t="str">
        <x:v>机构查询</x:v>
      </x:c>
      <x:c r="F15" s="116" t="str">
        <x:v>外部共享/院内</x:v>
      </x:c>
      <x:c r="G15" s="116" t="str">
        <x:v>OAuth2</x:v>
      </x:c>
      <x:c r="H15" s="116" t="str">
        <x:v>GET</x:v>
      </x:c>
      <x:c r="I15" s="116" t="str">
        <x:v>&lt;=500ms</x:v>
      </x:c>
      <x:c r="J15" s="116" t="str">
        <x:v>内部</x:v>
      </x:c>
      <x:c r="K15" s="116" t="str">
        <x:v>版本/分页</x:v>
      </x:c>
      <x:c r="L15" s="119" t="str">
        <x:v>FHIR组</x:v>
      </x:c>
      <x:c r="M15" s="113"/>
      <x:c r="N15" s="113"/>
      <x:c r="O15" s="113"/>
    </x:row>
    <x:row r="16">
      <x:c r="A16" s="115" t="str">
        <x:v>FHIR-004</x:v>
      </x:c>
      <x:c r="B16" s="116" t="str">
        <x:v>FHIR R4</x:v>
      </x:c>
      <x:c r="C16" s="116" t="str">
        <x:v>GET</x:v>
      </x:c>
      <x:c r="D16" s="116" t="str">
        <x:v>/fhir/r4/CodeSystem|ValueSet|ConceptMap</x:v>
      </x:c>
      <x:c r="E16" s="116" t="str">
        <x:v>术语服务</x:v>
      </x:c>
      <x:c r="F16" s="116" t="str">
        <x:v>临床/科研/互联互通</x:v>
      </x:c>
      <x:c r="G16" s="116" t="str">
        <x:v>OAuth2</x:v>
      </x:c>
      <x:c r="H16" s="116" t="str">
        <x:v>GET</x:v>
      </x:c>
      <x:c r="I16" s="116" t="str">
        <x:v>&lt;=800ms</x:v>
      </x:c>
      <x:c r="J16" s="116" t="str">
        <x:v>内部</x:v>
      </x:c>
      <x:c r="K16" s="116" t="str">
        <x:v>版本锁定</x:v>
      </x:c>
      <x:c r="L16" s="119" t="str">
        <x:v>标准组</x:v>
      </x:c>
      <x:c r="M16" s="113"/>
      <x:c r="N16" s="113"/>
      <x:c r="O16" s="113"/>
    </x:row>
    <x:row r="17">
      <x:c r="A17" s="115" t="str">
        <x:v>EVT-PAT-001</x:v>
      </x:c>
      <x:c r="B17" s="116" t="str">
        <x:v>Kafka</x:v>
      </x:c>
      <x:c r="C17" s="116" t="str">
        <x:v>EVENT</x:v>
      </x:c>
      <x:c r="D17" s="116" t="str">
        <x:v>mdm.patient.changed.v1</x:v>
      </x:c>
      <x:c r="E17" s="116" t="str">
        <x:v>患者主记录变更</x:v>
      </x:c>
      <x:c r="F17" s="116" t="str">
        <x:v>EMR/LIS/PACS/CDR</x:v>
      </x:c>
      <x:c r="G17" s="116" t="str">
        <x:v>TLS+SASL+Topic ACL</x:v>
      </x:c>
      <x:c r="H17" s="116" t="str">
        <x:v>eventId</x:v>
      </x:c>
      <x:c r="I17" s="116" t="str">
        <x:v>&lt;=5分钟到达</x:v>
      </x:c>
      <x:c r="J17" s="116" t="str">
        <x:v>高</x:v>
      </x:c>
      <x:c r="K17" s="116" t="str">
        <x:v>5次重试+DLQ+人工补偿</x:v>
      </x:c>
      <x:c r="L17" s="119" t="str">
        <x:v>事件平台</x:v>
      </x:c>
      <x:c r="M17" s="113"/>
      <x:c r="N17" s="113"/>
      <x:c r="O17" s="113"/>
    </x:row>
    <x:row r="18">
      <x:c r="A18" s="115" t="str">
        <x:v>EVT-PAT-002</x:v>
      </x:c>
      <x:c r="B18" s="116" t="str">
        <x:v>Kafka</x:v>
      </x:c>
      <x:c r="C18" s="116" t="str">
        <x:v>EVENT</x:v>
      </x:c>
      <x:c r="D18" s="116" t="str">
        <x:v>mdm.patient.merged.v1</x:v>
      </x:c>
      <x:c r="E18" s="116" t="str">
        <x:v>患者合并与回滚线索</x:v>
      </x:c>
      <x:c r="F18" s="116" t="str">
        <x:v>全院患者数据消费者</x:v>
      </x:c>
      <x:c r="G18" s="116" t="str">
        <x:v>专用ACL</x:v>
      </x:c>
      <x:c r="H18" s="116" t="str">
        <x:v>eventId+version</x:v>
      </x:c>
      <x:c r="I18" s="116" t="str">
        <x:v>&lt;=1分钟</x:v>
      </x:c>
      <x:c r="J18" s="116" t="str">
        <x:v>极高</x:v>
      </x:c>
      <x:c r="K18" s="116" t="str">
        <x:v>高优先级告警、确认消费</x:v>
      </x:c>
      <x:c r="L18" s="119" t="str">
        <x:v>EMPI组</x:v>
      </x:c>
      <x:c r="M18" s="113"/>
      <x:c r="N18" s="113"/>
      <x:c r="O18" s="113"/>
    </x:row>
    <x:row r="19">
      <x:c r="A19" s="115" t="str">
        <x:v>EVT-ORG-001</x:v>
      </x:c>
      <x:c r="B19" s="116" t="str">
        <x:v>Kafka</x:v>
      </x:c>
      <x:c r="C19" s="116" t="str">
        <x:v>EVENT</x:v>
      </x:c>
      <x:c r="D19" s="116" t="str">
        <x:v>mdm.organization.changed.v1</x:v>
      </x:c>
      <x:c r="E19" s="116" t="str">
        <x:v>科室/病区变更</x:v>
      </x:c>
      <x:c r="F19" s="116" t="str">
        <x:v>全院系统</x:v>
      </x:c>
      <x:c r="G19" s="116" t="str">
        <x:v>Topic ACL</x:v>
      </x:c>
      <x:c r="H19" s="116" t="str">
        <x:v>eventId</x:v>
      </x:c>
      <x:c r="I19" s="116" t="str">
        <x:v>&lt;=5分钟</x:v>
      </x:c>
      <x:c r="J19" s="116" t="str">
        <x:v>内部</x:v>
      </x:c>
      <x:c r="K19" s="116" t="str">
        <x:v>顺序键=organizationCode</x:v>
      </x:c>
      <x:c r="L19" s="119" t="str">
        <x:v>组织人事</x:v>
      </x:c>
      <x:c r="M19" s="113"/>
      <x:c r="N19" s="113"/>
      <x:c r="O19" s="113"/>
    </x:row>
    <x:row r="20">
      <x:c r="A20" s="115" t="str">
        <x:v>EVT-REF-001</x:v>
      </x:c>
      <x:c r="B20" s="116" t="str">
        <x:v>Kafka</x:v>
      </x:c>
      <x:c r="C20" s="116" t="str">
        <x:v>EVENT</x:v>
      </x:c>
      <x:c r="D20" s="116" t="str">
        <x:v>ref.valueset.published.v1</x:v>
      </x:c>
      <x:c r="E20" s="116" t="str">
        <x:v>值域版本发布</x:v>
      </x:c>
      <x:c r="F20" s="116" t="str">
        <x:v>各系统/ETL</x:v>
      </x:c>
      <x:c r="G20" s="116" t="str">
        <x:v>Topic ACL</x:v>
      </x:c>
      <x:c r="H20" s="116" t="str">
        <x:v>eventId</x:v>
      </x:c>
      <x:c r="I20" s="116" t="str">
        <x:v>&lt;=10分钟</x:v>
      </x:c>
      <x:c r="J20" s="116" t="str">
        <x:v>内部</x:v>
      </x:c>
      <x:c r="K20" s="116" t="str">
        <x:v>携checksum与包URI</x:v>
      </x:c>
      <x:c r="L20" s="119" t="str">
        <x:v>标准组</x:v>
      </x:c>
      <x:c r="M20" s="113"/>
      <x:c r="N20" s="113"/>
      <x:c r="O20" s="113"/>
    </x:row>
    <x:row r="21">
      <x:c r="A21" s="115" t="str">
        <x:v>EVT-DQ-001</x:v>
      </x:c>
      <x:c r="B21" s="116" t="str">
        <x:v>Kafka</x:v>
      </x:c>
      <x:c r="C21" s="116" t="str">
        <x:v>EVENT</x:v>
      </x:c>
      <x:c r="D21" s="116" t="str">
        <x:v>dq.issue.created.v1</x:v>
      </x:c>
      <x:c r="E21" s="116" t="str">
        <x:v>质量问题告警</x:v>
      </x:c>
      <x:c r="F21" s="116" t="str">
        <x:v>工单/看板/Owner</x:v>
      </x:c>
      <x:c r="G21" s="116" t="str">
        <x:v>Topic ACL</x:v>
      </x:c>
      <x:c r="H21" s="116" t="str">
        <x:v>eventId</x:v>
      </x:c>
      <x:c r="I21" s="116" t="str">
        <x:v>&lt;=5分钟</x:v>
      </x:c>
      <x:c r="J21" s="116" t="str">
        <x:v>敏感元数据</x:v>
      </x:c>
      <x:c r="K21" s="116" t="str">
        <x:v>不携患者明文</x:v>
      </x:c>
      <x:c r="L21" s="119" t="str">
        <x:v>质量组</x:v>
      </x:c>
      <x:c r="M21" s="113"/>
      <x:c r="N21" s="113"/>
      <x:c r="O21" s="113"/>
    </x:row>
    <x:row r="22">
      <x:c r="A22" s="121" t="str">
        <x:v>FILE-001</x:v>
      </x:c>
      <x:c r="B22" s="123" t="str">
        <x:v>SFTP/S3</x:v>
      </x:c>
      <x:c r="C22" s="123" t="str">
        <x:v>FILE</x:v>
      </x:c>
      <x:c r="D22" s="123" t="str">
        <x:v>/exchange/{system}/{date}/manifest.json</x:v>
      </x:c>
      <x:c r="E22" s="123" t="str">
        <x:v>历史/大批量交换</x:v>
      </x:c>
      <x:c r="F22" s="123" t="str">
        <x:v>厂商/平台</x:v>
      </x:c>
      <x:c r="G22" s="123" t="str">
        <x:v>专线+mTLS/SSH+白名单</x:v>
      </x:c>
      <x:c r="H22" s="123" t="str">
        <x:v>文件checksum</x:v>
      </x:c>
      <x:c r="I22" s="123" t="str">
        <x:v>按批次</x:v>
      </x:c>
      <x:c r="J22" s="123" t="str">
        <x:v>按内容</x:v>
      </x:c>
      <x:c r="K22" s="123" t="str">
        <x:v>分片重传、记录数对账</x:v>
      </x:c>
      <x:c r="L22" s="124" t="str">
        <x:v>集成组</x:v>
      </x:c>
      <x:c r="M22" s="113"/>
      <x:c r="N22" s="113"/>
      <x:c r="O22" s="113"/>
    </x:row>
    <x:row r="23">
      <x:c r="A23" s="113"/>
      <x:c r="B23" s="113"/>
      <x:c r="C23" s="113"/>
      <x:c r="D23" s="113"/>
      <x:c r="E23" s="113"/>
      <x:c r="F23" s="113"/>
      <x:c r="G23" s="113"/>
      <x:c r="H23" s="113"/>
      <x:c r="I23" s="113"/>
      <x:c r="J23" s="113"/>
      <x:c r="K23" s="113"/>
      <x:c r="L23" s="113"/>
      <x:c r="M23" s="113"/>
      <x:c r="N23" s="113"/>
      <x:c r="O23" s="113"/>
    </x:row>
    <x:row r="24">
      <x:c r="A24" s="113"/>
      <x:c r="B24" s="113"/>
      <x:c r="C24" s="113"/>
      <x:c r="D24" s="113"/>
      <x:c r="E24" s="113"/>
      <x:c r="F24" s="113"/>
      <x:c r="G24" s="113"/>
      <x:c r="H24" s="113"/>
      <x:c r="I24" s="113"/>
      <x:c r="J24" s="113"/>
      <x:c r="K24" s="113"/>
      <x:c r="L24" s="113"/>
      <x:c r="M24" s="113"/>
      <x:c r="N24" s="113"/>
      <x:c r="O24" s="113"/>
    </x:row>
    <x:row r="25">
      <x:c r="A25" s="113"/>
      <x:c r="B25" s="113"/>
      <x:c r="C25" s="113"/>
      <x:c r="D25" s="113"/>
      <x:c r="E25" s="113"/>
      <x:c r="F25" s="113"/>
      <x:c r="G25" s="113"/>
      <x:c r="H25" s="113"/>
      <x:c r="I25" s="113"/>
      <x:c r="J25" s="113"/>
      <x:c r="K25" s="113"/>
      <x:c r="L25" s="113"/>
      <x:c r="M25" s="113"/>
      <x:c r="N25" s="113"/>
      <x:c r="O25" s="113"/>
    </x:row>
    <x:row r="26">
      <x:c r="A26" s="113"/>
      <x:c r="B26" s="113"/>
      <x:c r="C26" s="113"/>
      <x:c r="D26" s="113"/>
      <x:c r="E26" s="113"/>
      <x:c r="F26" s="113"/>
      <x:c r="G26" s="113"/>
      <x:c r="H26" s="113"/>
      <x:c r="I26" s="113"/>
      <x:c r="J26" s="113"/>
      <x:c r="K26" s="113"/>
      <x:c r="L26" s="113"/>
      <x:c r="M26" s="113"/>
      <x:c r="N26" s="113"/>
      <x:c r="O26" s="113"/>
    </x:row>
    <x:row r="27">
      <x:c r="A27" s="113"/>
      <x:c r="B27" s="113"/>
      <x:c r="C27" s="113"/>
      <x:c r="D27" s="113"/>
      <x:c r="E27" s="113"/>
      <x:c r="F27" s="113"/>
      <x:c r="G27" s="113"/>
      <x:c r="H27" s="113"/>
      <x:c r="I27" s="113"/>
      <x:c r="J27" s="113"/>
      <x:c r="K27" s="113"/>
      <x:c r="L27" s="113"/>
      <x:c r="M27" s="113"/>
      <x:c r="N27" s="113"/>
      <x:c r="O27" s="113"/>
    </x:row>
    <x:row r="28">
      <x:c r="A28" s="113"/>
      <x:c r="B28" s="113"/>
      <x:c r="C28" s="113"/>
      <x:c r="D28" s="113"/>
      <x:c r="E28" s="113"/>
      <x:c r="F28" s="113"/>
      <x:c r="G28" s="113"/>
      <x:c r="H28" s="113"/>
      <x:c r="I28" s="113"/>
      <x:c r="J28" s="113"/>
      <x:c r="K28" s="113"/>
      <x:c r="L28" s="113"/>
      <x:c r="M28" s="113"/>
      <x:c r="N28" s="113"/>
      <x:c r="O28" s="113"/>
    </x:row>
    <x:row r="29">
      <x:c r="A29" s="113"/>
      <x:c r="B29" s="113"/>
      <x:c r="C29" s="113"/>
      <x:c r="D29" s="113"/>
      <x:c r="E29" s="113"/>
      <x:c r="F29" s="113"/>
      <x:c r="G29" s="113"/>
      <x:c r="H29" s="113"/>
      <x:c r="I29" s="113"/>
      <x:c r="J29" s="113"/>
      <x:c r="K29" s="113"/>
      <x:c r="L29" s="113"/>
      <x:c r="M29" s="113"/>
      <x:c r="N29" s="113"/>
      <x:c r="O29" s="113"/>
    </x:row>
    <x:row r="30">
      <x:c r="A30" s="113"/>
      <x:c r="B30" s="113"/>
      <x:c r="C30" s="113"/>
      <x:c r="D30" s="113"/>
      <x:c r="E30" s="113"/>
      <x:c r="F30" s="113"/>
      <x:c r="G30" s="113"/>
      <x:c r="H30" s="113"/>
      <x:c r="I30" s="113"/>
      <x:c r="J30" s="113"/>
      <x:c r="K30" s="113"/>
      <x:c r="L30" s="113"/>
      <x:c r="M30" s="113"/>
      <x:c r="N30" s="113"/>
      <x:c r="O30" s="113"/>
    </x:row>
    <x:row r="31">
      <x:c r="A31" s="113"/>
      <x:c r="B31" s="113"/>
      <x:c r="C31" s="113"/>
      <x:c r="D31" s="113"/>
      <x:c r="E31" s="113"/>
      <x:c r="F31" s="113"/>
      <x:c r="G31" s="113"/>
      <x:c r="H31" s="113"/>
      <x:c r="I31" s="113"/>
      <x:c r="J31" s="113"/>
      <x:c r="K31" s="113"/>
      <x:c r="L31" s="113"/>
      <x:c r="M31" s="113"/>
      <x:c r="N31" s="113"/>
      <x:c r="O31" s="113"/>
    </x:row>
    <x:row r="32">
      <x:c r="A32" s="113"/>
      <x:c r="B32" s="113"/>
      <x:c r="C32" s="113"/>
      <x:c r="D32" s="113"/>
      <x:c r="E32" s="113"/>
      <x:c r="F32" s="113"/>
      <x:c r="G32" s="113"/>
      <x:c r="H32" s="113"/>
      <x:c r="I32" s="113"/>
      <x:c r="J32" s="113"/>
      <x:c r="K32" s="113"/>
      <x:c r="L32" s="113"/>
      <x:c r="M32" s="113"/>
      <x:c r="N32" s="113"/>
      <x:c r="O32" s="113"/>
    </x:row>
    <x:row r="33">
      <x:c r="A33" s="113"/>
      <x:c r="B33" s="113"/>
      <x:c r="C33" s="113"/>
      <x:c r="D33" s="113"/>
      <x:c r="E33" s="113"/>
      <x:c r="F33" s="113"/>
      <x:c r="G33" s="113"/>
      <x:c r="H33" s="113"/>
      <x:c r="I33" s="113"/>
      <x:c r="J33" s="113"/>
      <x:c r="K33" s="113"/>
      <x:c r="L33" s="113"/>
      <x:c r="M33" s="113"/>
      <x:c r="N33" s="113"/>
      <x:c r="O33" s="113"/>
    </x:row>
    <x:row r="34">
      <x:c r="A34" s="113"/>
      <x:c r="B34" s="113"/>
      <x:c r="C34" s="113"/>
      <x:c r="D34" s="113"/>
      <x:c r="E34" s="113"/>
      <x:c r="F34" s="113"/>
      <x:c r="G34" s="113"/>
      <x:c r="H34" s="113"/>
      <x:c r="I34" s="113"/>
      <x:c r="J34" s="113"/>
      <x:c r="K34" s="113"/>
      <x:c r="L34" s="113"/>
      <x:c r="M34" s="113"/>
      <x:c r="N34" s="113"/>
      <x:c r="O34" s="113"/>
    </x:row>
    <x:row r="35">
      <x:c r="A35" s="113"/>
      <x:c r="B35" s="113"/>
      <x:c r="C35" s="113"/>
      <x:c r="D35" s="113"/>
      <x:c r="E35" s="113"/>
      <x:c r="F35" s="113"/>
      <x:c r="G35" s="113"/>
      <x:c r="H35" s="113"/>
      <x:c r="I35" s="113"/>
      <x:c r="J35" s="113"/>
      <x:c r="K35" s="113"/>
      <x:c r="L35" s="113"/>
      <x:c r="M35" s="113"/>
      <x:c r="N35" s="113"/>
      <x:c r="O35" s="113"/>
    </x:row>
    <x:row r="36">
      <x:c r="A36" s="113"/>
      <x:c r="B36" s="113"/>
      <x:c r="C36" s="113"/>
      <x:c r="D36" s="113"/>
      <x:c r="E36" s="113"/>
      <x:c r="F36" s="113"/>
      <x:c r="G36" s="113"/>
      <x:c r="H36" s="113"/>
      <x:c r="I36" s="113"/>
      <x:c r="J36" s="113"/>
      <x:c r="K36" s="113"/>
      <x:c r="L36" s="113"/>
      <x:c r="M36" s="113"/>
      <x:c r="N36" s="113"/>
      <x:c r="O36" s="113"/>
    </x:row>
    <x:row r="37">
      <x:c r="A37" s="113"/>
      <x:c r="B37" s="113"/>
      <x:c r="C37" s="113"/>
      <x:c r="D37" s="113"/>
      <x:c r="E37" s="113"/>
      <x:c r="F37" s="113"/>
      <x:c r="G37" s="113"/>
      <x:c r="H37" s="113"/>
      <x:c r="I37" s="113"/>
      <x:c r="J37" s="113"/>
      <x:c r="K37" s="113"/>
      <x:c r="L37" s="113"/>
      <x:c r="M37" s="113"/>
      <x:c r="N37" s="113"/>
      <x:c r="O37" s="113"/>
    </x:row>
    <x:row r="38">
      <x:c r="A38" s="113"/>
      <x:c r="B38" s="113"/>
      <x:c r="C38" s="113"/>
      <x:c r="D38" s="113"/>
      <x:c r="E38" s="113"/>
      <x:c r="F38" s="113"/>
      <x:c r="G38" s="113"/>
      <x:c r="H38" s="113"/>
      <x:c r="I38" s="113"/>
      <x:c r="J38" s="113"/>
      <x:c r="K38" s="113"/>
      <x:c r="L38" s="113"/>
      <x:c r="M38" s="113"/>
      <x:c r="N38" s="113"/>
      <x:c r="O38" s="113"/>
    </x:row>
    <x:row r="39">
      <x:c r="A39" s="113"/>
      <x:c r="B39" s="113"/>
      <x:c r="C39" s="113"/>
      <x:c r="D39" s="113"/>
      <x:c r="E39" s="113"/>
      <x:c r="F39" s="113"/>
      <x:c r="G39" s="113"/>
      <x:c r="H39" s="113"/>
      <x:c r="I39" s="113"/>
      <x:c r="J39" s="113"/>
      <x:c r="K39" s="113"/>
      <x:c r="L39" s="113"/>
      <x:c r="M39" s="113"/>
      <x:c r="N39" s="113"/>
      <x:c r="O39" s="113"/>
    </x:row>
    <x:row r="40">
      <x:c r="A40" s="113"/>
      <x:c r="B40" s="113"/>
      <x:c r="C40" s="113"/>
      <x:c r="D40" s="113"/>
      <x:c r="E40" s="113"/>
      <x:c r="F40" s="113"/>
      <x:c r="G40" s="113"/>
      <x:c r="H40" s="113"/>
      <x:c r="I40" s="113"/>
      <x:c r="J40" s="113"/>
      <x:c r="K40" s="113"/>
      <x:c r="L40" s="113"/>
      <x:c r="M40" s="113"/>
      <x:c r="N40" s="113"/>
      <x:c r="O40" s="113"/>
    </x:row>
    <x:row r="41">
      <x:c r="A41" s="113"/>
      <x:c r="B41" s="113"/>
      <x:c r="C41" s="113"/>
      <x:c r="D41" s="113"/>
      <x:c r="E41" s="113"/>
      <x:c r="F41" s="113"/>
      <x:c r="G41" s="113"/>
      <x:c r="H41" s="113"/>
      <x:c r="I41" s="113"/>
      <x:c r="J41" s="113"/>
      <x:c r="K41" s="113"/>
      <x:c r="L41" s="113"/>
      <x:c r="M41" s="113"/>
      <x:c r="N41" s="113"/>
      <x:c r="O41" s="113"/>
    </x:row>
    <x:row r="42">
      <x:c r="A42" s="113"/>
      <x:c r="B42" s="113"/>
      <x:c r="C42" s="113"/>
      <x:c r="D42" s="113"/>
      <x:c r="E42" s="113"/>
      <x:c r="F42" s="113"/>
      <x:c r="G42" s="113"/>
      <x:c r="H42" s="113"/>
      <x:c r="I42" s="113"/>
      <x:c r="J42" s="113"/>
      <x:c r="K42" s="113"/>
      <x:c r="L42" s="113"/>
      <x:c r="M42" s="113"/>
      <x:c r="N42" s="113"/>
      <x:c r="O42" s="113"/>
    </x:row>
    <x:row r="43">
      <x:c r="A43" s="113"/>
      <x:c r="B43" s="113"/>
      <x:c r="C43" s="113"/>
      <x:c r="D43" s="113"/>
      <x:c r="E43" s="113"/>
      <x:c r="F43" s="113"/>
      <x:c r="G43" s="113"/>
      <x:c r="H43" s="113"/>
      <x:c r="I43" s="113"/>
      <x:c r="J43" s="113"/>
      <x:c r="K43" s="113"/>
      <x:c r="L43" s="113"/>
      <x:c r="M43" s="113"/>
      <x:c r="N43" s="113"/>
      <x:c r="O43" s="113"/>
    </x:row>
    <x:row r="44">
      <x:c r="A44" s="113"/>
      <x:c r="B44" s="113"/>
      <x:c r="C44" s="113"/>
      <x:c r="D44" s="113"/>
      <x:c r="E44" s="113"/>
      <x:c r="F44" s="113"/>
      <x:c r="G44" s="113"/>
      <x:c r="H44" s="113"/>
      <x:c r="I44" s="113"/>
      <x:c r="J44" s="113"/>
      <x:c r="K44" s="113"/>
      <x:c r="L44" s="113"/>
      <x:c r="M44" s="113"/>
      <x:c r="N44" s="113"/>
      <x:c r="O44" s="113"/>
    </x:row>
    <x:row r="45">
      <x:c r="A45" s="113"/>
      <x:c r="B45" s="113"/>
      <x:c r="C45" s="113"/>
      <x:c r="D45" s="113"/>
      <x:c r="E45" s="113"/>
      <x:c r="F45" s="113"/>
      <x:c r="G45" s="113"/>
      <x:c r="H45" s="113"/>
      <x:c r="I45" s="113"/>
      <x:c r="J45" s="113"/>
      <x:c r="K45" s="113"/>
      <x:c r="L45" s="113"/>
      <x:c r="M45" s="113"/>
      <x:c r="N45" s="113"/>
      <x:c r="O45" s="113"/>
    </x:row>
    <x:row r="46">
      <x:c r="A46" s="113"/>
      <x:c r="B46" s="113"/>
      <x:c r="C46" s="113"/>
      <x:c r="D46" s="113"/>
      <x:c r="E46" s="113"/>
      <x:c r="F46" s="113"/>
      <x:c r="G46" s="113"/>
      <x:c r="H46" s="113"/>
      <x:c r="I46" s="113"/>
      <x:c r="J46" s="113"/>
      <x:c r="K46" s="113"/>
      <x:c r="L46" s="113"/>
      <x:c r="M46" s="113"/>
      <x:c r="N46" s="113"/>
      <x:c r="O46" s="113"/>
    </x:row>
    <x:row r="47">
      <x:c r="A47" s="113"/>
      <x:c r="B47" s="113"/>
      <x:c r="C47" s="113"/>
      <x:c r="D47" s="113"/>
      <x:c r="E47" s="113"/>
      <x:c r="F47" s="113"/>
      <x:c r="G47" s="113"/>
      <x:c r="H47" s="113"/>
      <x:c r="I47" s="113"/>
      <x:c r="J47" s="113"/>
      <x:c r="K47" s="113"/>
      <x:c r="L47" s="113"/>
      <x:c r="M47" s="113"/>
      <x:c r="N47" s="113"/>
      <x:c r="O47" s="113"/>
    </x:row>
    <x:row r="48">
      <x:c r="A48" s="113"/>
      <x:c r="B48" s="113"/>
      <x:c r="C48" s="113"/>
      <x:c r="D48" s="113"/>
      <x:c r="E48" s="113"/>
      <x:c r="F48" s="113"/>
      <x:c r="G48" s="113"/>
      <x:c r="H48" s="113"/>
      <x:c r="I48" s="113"/>
      <x:c r="J48" s="113"/>
      <x:c r="K48" s="113"/>
      <x:c r="L48" s="113"/>
      <x:c r="M48" s="113"/>
      <x:c r="N48" s="113"/>
      <x:c r="O48" s="113"/>
    </x:row>
    <x:row r="49">
      <x:c r="A49" s="113"/>
      <x:c r="B49" s="113"/>
      <x:c r="C49" s="113"/>
      <x:c r="D49" s="113"/>
      <x:c r="E49" s="113"/>
      <x:c r="F49" s="113"/>
      <x:c r="G49" s="113"/>
      <x:c r="H49" s="113"/>
      <x:c r="I49" s="113"/>
      <x:c r="J49" s="113"/>
      <x:c r="K49" s="113"/>
      <x:c r="L49" s="113"/>
      <x:c r="M49" s="113"/>
      <x:c r="N49" s="113"/>
      <x:c r="O49" s="113"/>
    </x:row>
    <x:row r="50">
      <x:c r="A50" s="113"/>
      <x:c r="B50" s="113"/>
      <x:c r="C50" s="113"/>
      <x:c r="D50" s="113"/>
      <x:c r="E50" s="113"/>
      <x:c r="F50" s="113"/>
      <x:c r="G50" s="113"/>
      <x:c r="H50" s="113"/>
      <x:c r="I50" s="113"/>
      <x:c r="J50" s="113"/>
      <x:c r="K50" s="113"/>
      <x:c r="L50" s="113"/>
      <x:c r="M50" s="113"/>
      <x:c r="N50" s="113"/>
      <x:c r="O50" s="113"/>
    </x:row>
    <x:row r="51">
      <x:c r="A51" s="113"/>
      <x:c r="B51" s="113"/>
      <x:c r="C51" s="113"/>
      <x:c r="D51" s="113"/>
      <x:c r="E51" s="113"/>
      <x:c r="F51" s="113"/>
      <x:c r="G51" s="113"/>
      <x:c r="H51" s="113"/>
      <x:c r="I51" s="113"/>
      <x:c r="J51" s="113"/>
      <x:c r="K51" s="113"/>
      <x:c r="L51" s="113"/>
      <x:c r="M51" s="113"/>
      <x:c r="N51" s="113"/>
      <x:c r="O51" s="113"/>
    </x:row>
    <x:row r="52">
      <x:c r="A52" s="113"/>
      <x:c r="B52" s="113"/>
      <x:c r="C52" s="113"/>
      <x:c r="D52" s="113"/>
      <x:c r="E52" s="113"/>
      <x:c r="F52" s="113"/>
      <x:c r="G52" s="113"/>
      <x:c r="H52" s="113"/>
      <x:c r="I52" s="113"/>
      <x:c r="J52" s="113"/>
      <x:c r="K52" s="113"/>
      <x:c r="L52" s="113"/>
      <x:c r="M52" s="113"/>
      <x:c r="N52" s="113"/>
      <x:c r="O52" s="113"/>
    </x:row>
    <x:row r="53">
      <x:c r="A53" s="113"/>
      <x:c r="B53" s="113"/>
      <x:c r="C53" s="113"/>
      <x:c r="D53" s="113"/>
      <x:c r="E53" s="113"/>
      <x:c r="F53" s="113"/>
      <x:c r="G53" s="113"/>
      <x:c r="H53" s="113"/>
      <x:c r="I53" s="113"/>
      <x:c r="J53" s="113"/>
      <x:c r="K53" s="113"/>
      <x:c r="L53" s="113"/>
      <x:c r="M53" s="113"/>
      <x:c r="N53" s="113"/>
      <x:c r="O53" s="113"/>
    </x:row>
    <x:row r="54">
      <x:c r="A54" s="113"/>
      <x:c r="B54" s="113"/>
      <x:c r="C54" s="113"/>
      <x:c r="D54" s="113"/>
      <x:c r="E54" s="113"/>
      <x:c r="F54" s="113"/>
      <x:c r="G54" s="113"/>
      <x:c r="H54" s="113"/>
      <x:c r="I54" s="113"/>
      <x:c r="J54" s="113"/>
      <x:c r="K54" s="113"/>
      <x:c r="L54" s="113"/>
      <x:c r="M54" s="113"/>
      <x:c r="N54" s="113"/>
      <x:c r="O54" s="113"/>
    </x:row>
    <x:row r="55">
      <x:c r="A55" s="113"/>
      <x:c r="B55" s="113"/>
      <x:c r="C55" s="113"/>
      <x:c r="D55" s="113"/>
      <x:c r="E55" s="113"/>
      <x:c r="F55" s="113"/>
      <x:c r="G55" s="113"/>
      <x:c r="H55" s="113"/>
      <x:c r="I55" s="113"/>
      <x:c r="J55" s="113"/>
      <x:c r="K55" s="113"/>
      <x:c r="L55" s="113"/>
      <x:c r="M55" s="113"/>
      <x:c r="N55" s="113"/>
      <x:c r="O55" s="113"/>
    </x:row>
    <x:row r="56">
      <x:c r="A56" s="113"/>
      <x:c r="B56" s="113"/>
      <x:c r="C56" s="113"/>
      <x:c r="D56" s="113"/>
      <x:c r="E56" s="113"/>
      <x:c r="F56" s="113"/>
      <x:c r="G56" s="113"/>
      <x:c r="H56" s="113"/>
      <x:c r="I56" s="113"/>
      <x:c r="J56" s="113"/>
      <x:c r="K56" s="113"/>
      <x:c r="L56" s="113"/>
      <x:c r="M56" s="113"/>
      <x:c r="N56" s="113"/>
      <x:c r="O56" s="113"/>
    </x:row>
    <x:row r="57">
      <x:c r="A57" s="113"/>
      <x:c r="B57" s="113"/>
      <x:c r="C57" s="113"/>
      <x:c r="D57" s="113"/>
      <x:c r="E57" s="113"/>
      <x:c r="F57" s="113"/>
      <x:c r="G57" s="113"/>
      <x:c r="H57" s="113"/>
      <x:c r="I57" s="113"/>
      <x:c r="J57" s="113"/>
      <x:c r="K57" s="113"/>
      <x:c r="L57" s="113"/>
      <x:c r="M57" s="113"/>
      <x:c r="N57" s="113"/>
      <x:c r="O57" s="113"/>
    </x:row>
    <x:row r="58">
      <x:c r="A58" s="113"/>
      <x:c r="B58" s="113"/>
      <x:c r="C58" s="113"/>
      <x:c r="D58" s="113"/>
      <x:c r="E58" s="113"/>
      <x:c r="F58" s="113"/>
      <x:c r="G58" s="113"/>
      <x:c r="H58" s="113"/>
      <x:c r="I58" s="113"/>
      <x:c r="J58" s="113"/>
      <x:c r="K58" s="113"/>
      <x:c r="L58" s="113"/>
      <x:c r="M58" s="113"/>
      <x:c r="N58" s="113"/>
      <x:c r="O58" s="113"/>
    </x:row>
    <x:row r="59">
      <x:c r="A59" s="113"/>
      <x:c r="B59" s="113"/>
      <x:c r="C59" s="113"/>
      <x:c r="D59" s="113"/>
      <x:c r="E59" s="113"/>
      <x:c r="F59" s="113"/>
      <x:c r="G59" s="113"/>
      <x:c r="H59" s="113"/>
      <x:c r="I59" s="113"/>
      <x:c r="J59" s="113"/>
      <x:c r="K59" s="113"/>
      <x:c r="L59" s="113"/>
      <x:c r="M59" s="113"/>
      <x:c r="N59" s="113"/>
      <x:c r="O59" s="113"/>
    </x:row>
    <x:row r="60">
      <x:c r="A60" s="113"/>
      <x:c r="B60" s="113"/>
      <x:c r="C60" s="113"/>
      <x:c r="D60" s="113"/>
      <x:c r="E60" s="113"/>
      <x:c r="F60" s="113"/>
      <x:c r="G60" s="113"/>
      <x:c r="H60" s="113"/>
      <x:c r="I60" s="113"/>
      <x:c r="J60" s="113"/>
      <x:c r="K60" s="113"/>
      <x:c r="L60" s="113"/>
      <x:c r="M60" s="113"/>
      <x:c r="N60" s="113"/>
      <x:c r="O60" s="113"/>
    </x:row>
    <x:row r="61">
      <x:c r="A61" s="113"/>
      <x:c r="B61" s="113"/>
      <x:c r="C61" s="113"/>
      <x:c r="D61" s="113"/>
      <x:c r="E61" s="113"/>
      <x:c r="F61" s="113"/>
      <x:c r="G61" s="113"/>
      <x:c r="H61" s="113"/>
      <x:c r="I61" s="113"/>
      <x:c r="J61" s="113"/>
      <x:c r="K61" s="113"/>
      <x:c r="L61" s="113"/>
      <x:c r="M61" s="113"/>
      <x:c r="N61" s="113"/>
      <x:c r="O61" s="113"/>
    </x:row>
    <x:row r="62">
      <x:c r="A62" s="113"/>
      <x:c r="B62" s="113"/>
      <x:c r="C62" s="113"/>
      <x:c r="D62" s="113"/>
      <x:c r="E62" s="113"/>
      <x:c r="F62" s="113"/>
      <x:c r="G62" s="113"/>
      <x:c r="H62" s="113"/>
      <x:c r="I62" s="113"/>
      <x:c r="J62" s="113"/>
      <x:c r="K62" s="113"/>
      <x:c r="L62" s="113"/>
      <x:c r="M62" s="113"/>
      <x:c r="N62" s="113"/>
      <x:c r="O62" s="113"/>
    </x:row>
    <x:row r="63">
      <x:c r="A63" s="113"/>
      <x:c r="B63" s="113"/>
      <x:c r="C63" s="113"/>
      <x:c r="D63" s="113"/>
      <x:c r="E63" s="113"/>
      <x:c r="F63" s="113"/>
      <x:c r="G63" s="113"/>
      <x:c r="H63" s="113"/>
      <x:c r="I63" s="113"/>
      <x:c r="J63" s="113"/>
      <x:c r="K63" s="113"/>
      <x:c r="L63" s="113"/>
      <x:c r="M63" s="113"/>
      <x:c r="N63" s="113"/>
      <x:c r="O63" s="113"/>
    </x:row>
    <x:row r="64">
      <x:c r="A64" s="113"/>
      <x:c r="B64" s="113"/>
      <x:c r="C64" s="113"/>
      <x:c r="D64" s="113"/>
      <x:c r="E64" s="113"/>
      <x:c r="F64" s="113"/>
      <x:c r="G64" s="113"/>
      <x:c r="H64" s="113"/>
      <x:c r="I64" s="113"/>
      <x:c r="J64" s="113"/>
      <x:c r="K64" s="113"/>
      <x:c r="L64" s="113"/>
      <x:c r="M64" s="113"/>
      <x:c r="N64" s="113"/>
      <x:c r="O64" s="113"/>
    </x:row>
    <x:row r="65">
      <x:c r="A65" s="113"/>
      <x:c r="B65" s="113"/>
      <x:c r="C65" s="113"/>
      <x:c r="D65" s="113"/>
      <x:c r="E65" s="113"/>
      <x:c r="F65" s="113"/>
      <x:c r="G65" s="113"/>
      <x:c r="H65" s="113"/>
      <x:c r="I65" s="113"/>
      <x:c r="J65" s="113"/>
      <x:c r="K65" s="113"/>
      <x:c r="L65" s="113"/>
      <x:c r="M65" s="113"/>
      <x:c r="N65" s="113"/>
      <x:c r="O65" s="113"/>
    </x:row>
    <x:row r="66">
      <x:c r="A66" s="113"/>
      <x:c r="B66" s="113"/>
      <x:c r="C66" s="113"/>
      <x:c r="D66" s="113"/>
      <x:c r="E66" s="113"/>
      <x:c r="F66" s="113"/>
      <x:c r="G66" s="113"/>
      <x:c r="H66" s="113"/>
      <x:c r="I66" s="113"/>
      <x:c r="J66" s="113"/>
      <x:c r="K66" s="113"/>
      <x:c r="L66" s="113"/>
      <x:c r="M66" s="113"/>
      <x:c r="N66" s="113"/>
      <x:c r="O66" s="113"/>
    </x:row>
    <x:row r="67">
      <x:c r="A67" s="113"/>
      <x:c r="B67" s="113"/>
      <x:c r="C67" s="113"/>
      <x:c r="D67" s="113"/>
      <x:c r="E67" s="113"/>
      <x:c r="F67" s="113"/>
      <x:c r="G67" s="113"/>
      <x:c r="H67" s="113"/>
      <x:c r="I67" s="113"/>
      <x:c r="J67" s="113"/>
      <x:c r="K67" s="113"/>
      <x:c r="L67" s="113"/>
      <x:c r="M67" s="113"/>
      <x:c r="N67" s="113"/>
      <x:c r="O67" s="113"/>
    </x:row>
    <x:row r="68">
      <x:c r="A68" s="113"/>
      <x:c r="B68" s="113"/>
      <x:c r="C68" s="113"/>
      <x:c r="D68" s="113"/>
      <x:c r="E68" s="113"/>
      <x:c r="F68" s="113"/>
      <x:c r="G68" s="113"/>
      <x:c r="H68" s="113"/>
      <x:c r="I68" s="113"/>
      <x:c r="J68" s="113"/>
      <x:c r="K68" s="113"/>
      <x:c r="L68" s="113"/>
      <x:c r="M68" s="113"/>
      <x:c r="N68" s="113"/>
      <x:c r="O68" s="113"/>
    </x:row>
    <x:row r="69">
      <x:c r="A69" s="113"/>
      <x:c r="B69" s="113"/>
      <x:c r="C69" s="113"/>
      <x:c r="D69" s="113"/>
      <x:c r="E69" s="113"/>
      <x:c r="F69" s="113"/>
      <x:c r="G69" s="113"/>
      <x:c r="H69" s="113"/>
      <x:c r="I69" s="113"/>
      <x:c r="J69" s="113"/>
      <x:c r="K69" s="113"/>
      <x:c r="L69" s="113"/>
      <x:c r="M69" s="113"/>
      <x:c r="N69" s="113"/>
      <x:c r="O69" s="113"/>
    </x:row>
    <x:row r="70">
      <x:c r="A70" s="113"/>
      <x:c r="B70" s="113"/>
      <x:c r="C70" s="113"/>
      <x:c r="D70" s="113"/>
      <x:c r="E70" s="113"/>
      <x:c r="F70" s="113"/>
      <x:c r="G70" s="113"/>
      <x:c r="H70" s="113"/>
      <x:c r="I70" s="113"/>
      <x:c r="J70" s="113"/>
      <x:c r="K70" s="113"/>
      <x:c r="L70" s="113"/>
      <x:c r="M70" s="113"/>
      <x:c r="N70" s="113"/>
      <x:c r="O70" s="113"/>
    </x:row>
    <x:row r="71">
      <x:c r="A71" s="113"/>
      <x:c r="B71" s="113"/>
      <x:c r="C71" s="113"/>
      <x:c r="D71" s="113"/>
      <x:c r="E71" s="113"/>
      <x:c r="F71" s="113"/>
      <x:c r="G71" s="113"/>
      <x:c r="H71" s="113"/>
      <x:c r="I71" s="113"/>
      <x:c r="J71" s="113"/>
      <x:c r="K71" s="113"/>
      <x:c r="L71" s="113"/>
      <x:c r="M71" s="113"/>
      <x:c r="N71" s="113"/>
      <x:c r="O71" s="113"/>
    </x:row>
    <x:row r="72">
      <x:c r="A72" s="113"/>
      <x:c r="B72" s="113"/>
      <x:c r="C72" s="113"/>
      <x:c r="D72" s="113"/>
      <x:c r="E72" s="113"/>
      <x:c r="F72" s="113"/>
      <x:c r="G72" s="113"/>
      <x:c r="H72" s="113"/>
      <x:c r="I72" s="113"/>
      <x:c r="J72" s="113"/>
      <x:c r="K72" s="113"/>
      <x:c r="L72" s="113"/>
      <x:c r="M72" s="113"/>
      <x:c r="N72" s="113"/>
      <x:c r="O72" s="113"/>
    </x:row>
    <x:row r="73">
      <x:c r="A73" s="113"/>
      <x:c r="B73" s="113"/>
      <x:c r="C73" s="113"/>
      <x:c r="D73" s="113"/>
      <x:c r="E73" s="113"/>
      <x:c r="F73" s="113"/>
      <x:c r="G73" s="113"/>
      <x:c r="H73" s="113"/>
      <x:c r="I73" s="113"/>
      <x:c r="J73" s="113"/>
      <x:c r="K73" s="113"/>
      <x:c r="L73" s="113"/>
      <x:c r="M73" s="113"/>
      <x:c r="N73" s="113"/>
      <x:c r="O73" s="113"/>
    </x:row>
    <x:row r="74">
      <x:c r="A74" s="113"/>
      <x:c r="B74" s="113"/>
      <x:c r="C74" s="113"/>
      <x:c r="D74" s="113"/>
      <x:c r="E74" s="113"/>
      <x:c r="F74" s="113"/>
      <x:c r="G74" s="113"/>
      <x:c r="H74" s="113"/>
      <x:c r="I74" s="113"/>
      <x:c r="J74" s="113"/>
      <x:c r="K74" s="113"/>
      <x:c r="L74" s="113"/>
      <x:c r="M74" s="113"/>
      <x:c r="N74" s="113"/>
      <x:c r="O74" s="113"/>
    </x:row>
    <x:row r="75">
      <x:c r="A75" s="113"/>
      <x:c r="B75" s="113"/>
      <x:c r="C75" s="113"/>
      <x:c r="D75" s="113"/>
      <x:c r="E75" s="113"/>
      <x:c r="F75" s="113"/>
      <x:c r="G75" s="113"/>
      <x:c r="H75" s="113"/>
      <x:c r="I75" s="113"/>
      <x:c r="J75" s="113"/>
      <x:c r="K75" s="113"/>
      <x:c r="L75" s="113"/>
      <x:c r="M75" s="113"/>
      <x:c r="N75" s="113"/>
      <x:c r="O75" s="113"/>
    </x:row>
    <x:row r="76">
      <x:c r="A76" s="113"/>
      <x:c r="B76" s="113"/>
      <x:c r="C76" s="113"/>
      <x:c r="D76" s="113"/>
      <x:c r="E76" s="113"/>
      <x:c r="F76" s="113"/>
      <x:c r="G76" s="113"/>
      <x:c r="H76" s="113"/>
      <x:c r="I76" s="113"/>
      <x:c r="J76" s="113"/>
      <x:c r="K76" s="113"/>
      <x:c r="L76" s="113"/>
      <x:c r="M76" s="113"/>
      <x:c r="N76" s="113"/>
      <x:c r="O76" s="113"/>
    </x:row>
    <x:row r="77">
      <x:c r="A77" s="113"/>
      <x:c r="B77" s="113"/>
      <x:c r="C77" s="113"/>
      <x:c r="D77" s="113"/>
      <x:c r="E77" s="113"/>
      <x:c r="F77" s="113"/>
      <x:c r="G77" s="113"/>
      <x:c r="H77" s="113"/>
      <x:c r="I77" s="113"/>
      <x:c r="J77" s="113"/>
      <x:c r="K77" s="113"/>
      <x:c r="L77" s="113"/>
      <x:c r="M77" s="113"/>
      <x:c r="N77" s="113"/>
      <x:c r="O77" s="113"/>
    </x:row>
    <x:row r="78">
      <x:c r="A78" s="113"/>
      <x:c r="B78" s="113"/>
      <x:c r="C78" s="113"/>
      <x:c r="D78" s="113"/>
      <x:c r="E78" s="113"/>
      <x:c r="F78" s="113"/>
      <x:c r="G78" s="113"/>
      <x:c r="H78" s="113"/>
      <x:c r="I78" s="113"/>
      <x:c r="J78" s="113"/>
      <x:c r="K78" s="113"/>
      <x:c r="L78" s="113"/>
      <x:c r="M78" s="113"/>
      <x:c r="N78" s="113"/>
      <x:c r="O78" s="113"/>
    </x:row>
    <x:row r="79">
      <x:c r="A79" s="113"/>
      <x:c r="B79" s="113"/>
      <x:c r="C79" s="113"/>
      <x:c r="D79" s="113"/>
      <x:c r="E79" s="113"/>
      <x:c r="F79" s="113"/>
      <x:c r="G79" s="113"/>
      <x:c r="H79" s="113"/>
      <x:c r="I79" s="113"/>
      <x:c r="J79" s="113"/>
      <x:c r="K79" s="113"/>
      <x:c r="L79" s="113"/>
      <x:c r="M79" s="113"/>
      <x:c r="N79" s="113"/>
      <x:c r="O79" s="113"/>
    </x:row>
    <x:row r="80">
      <x:c r="A80" s="113"/>
      <x:c r="B80" s="113"/>
      <x:c r="C80" s="113"/>
      <x:c r="D80" s="113"/>
      <x:c r="E80" s="113"/>
      <x:c r="F80" s="113"/>
      <x:c r="G80" s="113"/>
      <x:c r="H80" s="113"/>
      <x:c r="I80" s="113"/>
      <x:c r="J80" s="113"/>
      <x:c r="K80" s="113"/>
      <x:c r="L80" s="113"/>
      <x:c r="M80" s="113"/>
      <x:c r="N80" s="113"/>
      <x:c r="O80" s="113"/>
    </x:row>
    <x:row r="81">
      <x:c r="A81" s="113"/>
      <x:c r="B81" s="113"/>
      <x:c r="C81" s="113"/>
      <x:c r="D81" s="113"/>
      <x:c r="E81" s="113"/>
      <x:c r="F81" s="113"/>
      <x:c r="G81" s="113"/>
      <x:c r="H81" s="113"/>
      <x:c r="I81" s="113"/>
      <x:c r="J81" s="113"/>
      <x:c r="K81" s="113"/>
      <x:c r="L81" s="113"/>
      <x:c r="M81" s="113"/>
      <x:c r="N81" s="113"/>
      <x:c r="O81" s="113"/>
    </x:row>
    <x:row r="82">
      <x:c r="A82" s="113"/>
      <x:c r="B82" s="113"/>
      <x:c r="C82" s="113"/>
      <x:c r="D82" s="113"/>
      <x:c r="E82" s="113"/>
      <x:c r="F82" s="113"/>
      <x:c r="G82" s="113"/>
      <x:c r="H82" s="113"/>
      <x:c r="I82" s="113"/>
      <x:c r="J82" s="113"/>
      <x:c r="K82" s="113"/>
      <x:c r="L82" s="113"/>
      <x:c r="M82" s="113"/>
      <x:c r="N82" s="113"/>
      <x:c r="O82" s="113"/>
    </x:row>
    <x:row r="83">
      <x:c r="A83" s="113"/>
      <x:c r="B83" s="113"/>
      <x:c r="C83" s="113"/>
      <x:c r="D83" s="113"/>
      <x:c r="E83" s="113"/>
      <x:c r="F83" s="113"/>
      <x:c r="G83" s="113"/>
      <x:c r="H83" s="113"/>
      <x:c r="I83" s="113"/>
      <x:c r="J83" s="113"/>
      <x:c r="K83" s="113"/>
      <x:c r="L83" s="113"/>
      <x:c r="M83" s="113"/>
      <x:c r="N83" s="113"/>
      <x:c r="O83" s="113"/>
    </x:row>
    <x:row r="84">
      <x:c r="A84" s="113"/>
      <x:c r="B84" s="113"/>
      <x:c r="C84" s="113"/>
      <x:c r="D84" s="113"/>
      <x:c r="E84" s="113"/>
      <x:c r="F84" s="113"/>
      <x:c r="G84" s="113"/>
      <x:c r="H84" s="113"/>
      <x:c r="I84" s="113"/>
      <x:c r="J84" s="113"/>
      <x:c r="K84" s="113"/>
      <x:c r="L84" s="113"/>
      <x:c r="M84" s="113"/>
      <x:c r="N84" s="113"/>
      <x:c r="O84" s="113"/>
    </x:row>
    <x:row r="85">
      <x:c r="A85" s="113"/>
      <x:c r="B85" s="113"/>
      <x:c r="C85" s="113"/>
      <x:c r="D85" s="113"/>
      <x:c r="E85" s="113"/>
      <x:c r="F85" s="113"/>
      <x:c r="G85" s="113"/>
      <x:c r="H85" s="113"/>
      <x:c r="I85" s="113"/>
      <x:c r="J85" s="113"/>
      <x:c r="K85" s="113"/>
      <x:c r="L85" s="113"/>
      <x:c r="M85" s="113"/>
      <x:c r="N85" s="113"/>
      <x:c r="O85" s="113"/>
    </x:row>
    <x:row r="86">
      <x:c r="A86" s="113"/>
      <x:c r="B86" s="113"/>
      <x:c r="C86" s="113"/>
      <x:c r="D86" s="113"/>
      <x:c r="E86" s="113"/>
      <x:c r="F86" s="113"/>
      <x:c r="G86" s="113"/>
      <x:c r="H86" s="113"/>
      <x:c r="I86" s="113"/>
      <x:c r="J86" s="113"/>
      <x:c r="K86" s="113"/>
      <x:c r="L86" s="113"/>
      <x:c r="M86" s="113"/>
      <x:c r="N86" s="113"/>
      <x:c r="O86" s="113"/>
    </x:row>
    <x:row r="87">
      <x:c r="A87" s="113"/>
      <x:c r="B87" s="113"/>
      <x:c r="C87" s="113"/>
      <x:c r="D87" s="113"/>
      <x:c r="E87" s="113"/>
      <x:c r="F87" s="113"/>
      <x:c r="G87" s="113"/>
      <x:c r="H87" s="113"/>
      <x:c r="I87" s="113"/>
      <x:c r="J87" s="113"/>
      <x:c r="K87" s="113"/>
      <x:c r="L87" s="113"/>
      <x:c r="M87" s="113"/>
      <x:c r="N87" s="113"/>
      <x:c r="O87" s="113"/>
    </x:row>
    <x:row r="88">
      <x:c r="A88" s="113"/>
      <x:c r="B88" s="113"/>
      <x:c r="C88" s="113"/>
      <x:c r="D88" s="113"/>
      <x:c r="E88" s="113"/>
      <x:c r="F88" s="113"/>
      <x:c r="G88" s="113"/>
      <x:c r="H88" s="113"/>
      <x:c r="I88" s="113"/>
      <x:c r="J88" s="113"/>
      <x:c r="K88" s="113"/>
      <x:c r="L88" s="113"/>
      <x:c r="M88" s="113"/>
      <x:c r="N88" s="113"/>
      <x:c r="O88" s="113"/>
    </x:row>
    <x:row r="89">
      <x:c r="A89" s="113"/>
      <x:c r="B89" s="113"/>
      <x:c r="C89" s="113"/>
      <x:c r="D89" s="113"/>
      <x:c r="E89" s="113"/>
      <x:c r="F89" s="113"/>
      <x:c r="G89" s="113"/>
      <x:c r="H89" s="113"/>
      <x:c r="I89" s="113"/>
      <x:c r="J89" s="113"/>
      <x:c r="K89" s="113"/>
      <x:c r="L89" s="113"/>
      <x:c r="M89" s="113"/>
      <x:c r="N89" s="113"/>
      <x:c r="O89" s="113"/>
    </x:row>
    <x:row r="90">
      <x:c r="A90" s="113"/>
      <x:c r="B90" s="113"/>
      <x:c r="C90" s="113"/>
      <x:c r="D90" s="113"/>
      <x:c r="E90" s="113"/>
      <x:c r="F90" s="113"/>
      <x:c r="G90" s="113"/>
      <x:c r="H90" s="113"/>
      <x:c r="I90" s="113"/>
      <x:c r="J90" s="113"/>
      <x:c r="K90" s="113"/>
      <x:c r="L90" s="113"/>
      <x:c r="M90" s="113"/>
      <x:c r="N90" s="113"/>
      <x:c r="O90" s="113"/>
    </x:row>
    <x:row r="91">
      <x:c r="A91" s="113"/>
      <x:c r="B91" s="113"/>
      <x:c r="C91" s="113"/>
      <x:c r="D91" s="113"/>
      <x:c r="E91" s="113"/>
      <x:c r="F91" s="113"/>
      <x:c r="G91" s="113"/>
      <x:c r="H91" s="113"/>
      <x:c r="I91" s="113"/>
      <x:c r="J91" s="113"/>
      <x:c r="K91" s="113"/>
      <x:c r="L91" s="113"/>
      <x:c r="M91" s="113"/>
      <x:c r="N91" s="113"/>
      <x:c r="O91" s="113"/>
    </x:row>
    <x:row r="92">
      <x:c r="A92" s="113"/>
      <x:c r="B92" s="113"/>
      <x:c r="C92" s="113"/>
      <x:c r="D92" s="113"/>
      <x:c r="E92" s="113"/>
      <x:c r="F92" s="113"/>
      <x:c r="G92" s="113"/>
      <x:c r="H92" s="113"/>
      <x:c r="I92" s="113"/>
      <x:c r="J92" s="113"/>
      <x:c r="K92" s="113"/>
      <x:c r="L92" s="113"/>
      <x:c r="M92" s="113"/>
      <x:c r="N92" s="113"/>
      <x:c r="O92" s="113"/>
    </x:row>
    <x:row r="93">
      <x:c r="A93" s="113"/>
      <x:c r="B93" s="113"/>
      <x:c r="C93" s="113"/>
      <x:c r="D93" s="113"/>
      <x:c r="E93" s="113"/>
      <x:c r="F93" s="113"/>
      <x:c r="G93" s="113"/>
      <x:c r="H93" s="113"/>
      <x:c r="I93" s="113"/>
      <x:c r="J93" s="113"/>
      <x:c r="K93" s="113"/>
      <x:c r="L93" s="113"/>
      <x:c r="M93" s="113"/>
      <x:c r="N93" s="113"/>
      <x:c r="O93" s="113"/>
    </x:row>
    <x:row r="94">
      <x:c r="A94" s="113"/>
      <x:c r="B94" s="113"/>
      <x:c r="C94" s="113"/>
      <x:c r="D94" s="113"/>
      <x:c r="E94" s="113"/>
      <x:c r="F94" s="113"/>
      <x:c r="G94" s="113"/>
      <x:c r="H94" s="113"/>
      <x:c r="I94" s="113"/>
      <x:c r="J94" s="113"/>
      <x:c r="K94" s="113"/>
      <x:c r="L94" s="113"/>
      <x:c r="M94" s="113"/>
      <x:c r="N94" s="113"/>
      <x:c r="O94" s="113"/>
    </x:row>
    <x:row r="95">
      <x:c r="A95" s="113"/>
      <x:c r="B95" s="113"/>
      <x:c r="C95" s="113"/>
      <x:c r="D95" s="113"/>
      <x:c r="E95" s="113"/>
      <x:c r="F95" s="113"/>
      <x:c r="G95" s="113"/>
      <x:c r="H95" s="113"/>
      <x:c r="I95" s="113"/>
      <x:c r="J95" s="113"/>
      <x:c r="K95" s="113"/>
      <x:c r="L95" s="113"/>
      <x:c r="M95" s="113"/>
      <x:c r="N95" s="113"/>
      <x:c r="O95" s="113"/>
    </x:row>
    <x:row r="96">
      <x:c r="A96" s="113"/>
      <x:c r="B96" s="113"/>
      <x:c r="C96" s="113"/>
      <x:c r="D96" s="113"/>
      <x:c r="E96" s="113"/>
      <x:c r="F96" s="113"/>
      <x:c r="G96" s="113"/>
      <x:c r="H96" s="113"/>
      <x:c r="I96" s="113"/>
      <x:c r="J96" s="113"/>
      <x:c r="K96" s="113"/>
      <x:c r="L96" s="113"/>
      <x:c r="M96" s="113"/>
      <x:c r="N96" s="113"/>
      <x:c r="O96" s="113"/>
    </x:row>
    <x:row r="97">
      <x:c r="A97" s="113"/>
      <x:c r="B97" s="113"/>
      <x:c r="C97" s="113"/>
      <x:c r="D97" s="113"/>
      <x:c r="E97" s="113"/>
      <x:c r="F97" s="113"/>
      <x:c r="G97" s="113"/>
      <x:c r="H97" s="113"/>
      <x:c r="I97" s="113"/>
      <x:c r="J97" s="113"/>
      <x:c r="K97" s="113"/>
      <x:c r="L97" s="113"/>
      <x:c r="M97" s="113"/>
      <x:c r="N97" s="113"/>
      <x:c r="O97" s="113"/>
    </x:row>
    <x:row r="98">
      <x:c r="A98" s="113"/>
      <x:c r="B98" s="113"/>
      <x:c r="C98" s="113"/>
      <x:c r="D98" s="113"/>
      <x:c r="E98" s="113"/>
      <x:c r="F98" s="113"/>
      <x:c r="G98" s="113"/>
      <x:c r="H98" s="113"/>
      <x:c r="I98" s="113"/>
      <x:c r="J98" s="113"/>
      <x:c r="K98" s="113"/>
      <x:c r="L98" s="113"/>
      <x:c r="M98" s="113"/>
      <x:c r="N98" s="113"/>
      <x:c r="O98" s="113"/>
    </x:row>
    <x:row r="99">
      <x:c r="A99" s="113"/>
      <x:c r="B99" s="113"/>
      <x:c r="C99" s="113"/>
      <x:c r="D99" s="113"/>
      <x:c r="E99" s="113"/>
      <x:c r="F99" s="113"/>
      <x:c r="G99" s="113"/>
      <x:c r="H99" s="113"/>
      <x:c r="I99" s="113"/>
      <x:c r="J99" s="113"/>
      <x:c r="K99" s="113"/>
      <x:c r="L99" s="113"/>
      <x:c r="M99" s="113"/>
      <x:c r="N99" s="113"/>
      <x:c r="O99" s="113"/>
    </x:row>
    <x:row r="100">
      <x:c r="A100" s="113"/>
      <x:c r="B100" s="113"/>
      <x:c r="C100" s="113"/>
      <x:c r="D100" s="113"/>
      <x:c r="E100" s="113"/>
      <x:c r="F100" s="113"/>
      <x:c r="G100" s="113"/>
      <x:c r="H100" s="113"/>
      <x:c r="I100" s="113"/>
      <x:c r="J100" s="113"/>
      <x:c r="K100" s="113"/>
      <x:c r="L100" s="113"/>
      <x:c r="M100" s="113"/>
      <x:c r="N100" s="113"/>
      <x:c r="O100" s="113"/>
    </x:row>
    <x:row r="101">
      <x:c r="A101" s="113"/>
      <x:c r="B101" s="113"/>
      <x:c r="C101" s="113"/>
      <x:c r="D101" s="113"/>
      <x:c r="E101" s="113"/>
      <x:c r="F101" s="113"/>
      <x:c r="G101" s="113"/>
      <x:c r="H101" s="113"/>
      <x:c r="I101" s="113"/>
      <x:c r="J101" s="113"/>
      <x:c r="K101" s="113"/>
      <x:c r="L101" s="113"/>
      <x:c r="M101" s="113"/>
      <x:c r="N101" s="113"/>
      <x:c r="O101" s="113"/>
    </x:row>
    <x:row r="102">
      <x:c r="A102" s="113"/>
      <x:c r="B102" s="113"/>
      <x:c r="C102" s="113"/>
      <x:c r="D102" s="113"/>
      <x:c r="E102" s="113"/>
      <x:c r="F102" s="113"/>
      <x:c r="G102" s="113"/>
      <x:c r="H102" s="113"/>
      <x:c r="I102" s="113"/>
      <x:c r="J102" s="113"/>
      <x:c r="K102" s="113"/>
      <x:c r="L102" s="113"/>
      <x:c r="M102" s="113"/>
      <x:c r="N102" s="113"/>
      <x:c r="O102" s="113"/>
    </x:row>
    <x:row r="103">
      <x:c r="A103" s="113"/>
      <x:c r="B103" s="113"/>
      <x:c r="C103" s="113"/>
      <x:c r="D103" s="113"/>
      <x:c r="E103" s="113"/>
      <x:c r="F103" s="113"/>
      <x:c r="G103" s="113"/>
      <x:c r="H103" s="113"/>
      <x:c r="I103" s="113"/>
      <x:c r="J103" s="113"/>
      <x:c r="K103" s="113"/>
      <x:c r="L103" s="113"/>
      <x:c r="M103" s="113"/>
      <x:c r="N103" s="113"/>
      <x:c r="O103" s="113"/>
    </x:row>
    <x:row r="104">
      <x:c r="A104" s="113"/>
      <x:c r="B104" s="113"/>
      <x:c r="C104" s="113"/>
      <x:c r="D104" s="113"/>
      <x:c r="E104" s="113"/>
      <x:c r="F104" s="113"/>
      <x:c r="G104" s="113"/>
      <x:c r="H104" s="113"/>
      <x:c r="I104" s="113"/>
      <x:c r="J104" s="113"/>
      <x:c r="K104" s="113"/>
      <x:c r="L104" s="113"/>
      <x:c r="M104" s="113"/>
      <x:c r="N104" s="113"/>
      <x:c r="O104" s="113"/>
    </x:row>
    <x:row r="105">
      <x:c r="A105" s="113"/>
      <x:c r="B105" s="113"/>
      <x:c r="C105" s="113"/>
      <x:c r="D105" s="113"/>
      <x:c r="E105" s="113"/>
      <x:c r="F105" s="113"/>
      <x:c r="G105" s="113"/>
      <x:c r="H105" s="113"/>
      <x:c r="I105" s="113"/>
      <x:c r="J105" s="113"/>
      <x:c r="K105" s="113"/>
      <x:c r="L105" s="113"/>
      <x:c r="M105" s="113"/>
      <x:c r="N105" s="113"/>
      <x:c r="O105" s="113"/>
    </x:row>
    <x:row r="106">
      <x:c r="A106" s="113"/>
      <x:c r="B106" s="113"/>
      <x:c r="C106" s="113"/>
      <x:c r="D106" s="113"/>
      <x:c r="E106" s="113"/>
      <x:c r="F106" s="113"/>
      <x:c r="G106" s="113"/>
      <x:c r="H106" s="113"/>
      <x:c r="I106" s="113"/>
      <x:c r="J106" s="113"/>
      <x:c r="K106" s="113"/>
      <x:c r="L106" s="113"/>
      <x:c r="M106" s="113"/>
      <x:c r="N106" s="113"/>
      <x:c r="O106" s="113"/>
    </x:row>
    <x:row r="107">
      <x:c r="A107" s="113"/>
      <x:c r="B107" s="113"/>
      <x:c r="C107" s="113"/>
      <x:c r="D107" s="113"/>
      <x:c r="E107" s="113"/>
      <x:c r="F107" s="113"/>
      <x:c r="G107" s="113"/>
      <x:c r="H107" s="113"/>
      <x:c r="I107" s="113"/>
      <x:c r="J107" s="113"/>
      <x:c r="K107" s="113"/>
      <x:c r="L107" s="113"/>
      <x:c r="M107" s="113"/>
      <x:c r="N107" s="113"/>
      <x:c r="O107" s="113"/>
    </x:row>
    <x:row r="108">
      <x:c r="A108" s="113"/>
      <x:c r="B108" s="113"/>
      <x:c r="C108" s="113"/>
      <x:c r="D108" s="113"/>
      <x:c r="E108" s="113"/>
      <x:c r="F108" s="113"/>
      <x:c r="G108" s="113"/>
      <x:c r="H108" s="113"/>
      <x:c r="I108" s="113"/>
      <x:c r="J108" s="113"/>
      <x:c r="K108" s="113"/>
      <x:c r="L108" s="113"/>
      <x:c r="M108" s="113"/>
      <x:c r="N108" s="113"/>
      <x:c r="O108" s="113"/>
    </x:row>
    <x:row r="109">
      <x:c r="A109" s="113"/>
      <x:c r="B109" s="113"/>
      <x:c r="C109" s="113"/>
      <x:c r="D109" s="113"/>
      <x:c r="E109" s="113"/>
      <x:c r="F109" s="113"/>
      <x:c r="G109" s="113"/>
      <x:c r="H109" s="113"/>
      <x:c r="I109" s="113"/>
      <x:c r="J109" s="113"/>
      <x:c r="K109" s="113"/>
      <x:c r="L109" s="113"/>
      <x:c r="M109" s="113"/>
      <x:c r="N109" s="113"/>
      <x:c r="O109" s="113"/>
    </x:row>
    <x:row r="110">
      <x:c r="A110" s="113"/>
      <x:c r="B110" s="113"/>
      <x:c r="C110" s="113"/>
      <x:c r="D110" s="113"/>
      <x:c r="E110" s="113"/>
      <x:c r="F110" s="113"/>
      <x:c r="G110" s="113"/>
      <x:c r="H110" s="113"/>
      <x:c r="I110" s="113"/>
      <x:c r="J110" s="113"/>
      <x:c r="K110" s="113"/>
      <x:c r="L110" s="113"/>
      <x:c r="M110" s="113"/>
      <x:c r="N110" s="113"/>
      <x:c r="O110" s="113"/>
    </x:row>
    <x:row r="111">
      <x:c r="A111" s="113"/>
      <x:c r="B111" s="113"/>
      <x:c r="C111" s="113"/>
      <x:c r="D111" s="113"/>
      <x:c r="E111" s="113"/>
      <x:c r="F111" s="113"/>
      <x:c r="G111" s="113"/>
      <x:c r="H111" s="113"/>
      <x:c r="I111" s="113"/>
      <x:c r="J111" s="113"/>
      <x:c r="K111" s="113"/>
      <x:c r="L111" s="113"/>
      <x:c r="M111" s="113"/>
      <x:c r="N111" s="113"/>
      <x:c r="O111" s="113"/>
    </x:row>
    <x:row r="112">
      <x:c r="A112" s="113"/>
      <x:c r="B112" s="113"/>
      <x:c r="C112" s="113"/>
      <x:c r="D112" s="113"/>
      <x:c r="E112" s="113"/>
      <x:c r="F112" s="113"/>
      <x:c r="G112" s="113"/>
      <x:c r="H112" s="113"/>
      <x:c r="I112" s="113"/>
      <x:c r="J112" s="113"/>
      <x:c r="K112" s="113"/>
      <x:c r="L112" s="113"/>
      <x:c r="M112" s="113"/>
      <x:c r="N112" s="113"/>
      <x:c r="O112" s="113"/>
    </x:row>
    <x:row r="113">
      <x:c r="A113" s="113"/>
      <x:c r="B113" s="113"/>
      <x:c r="C113" s="113"/>
      <x:c r="D113" s="113"/>
      <x:c r="E113" s="113"/>
      <x:c r="F113" s="113"/>
      <x:c r="G113" s="113"/>
      <x:c r="H113" s="113"/>
      <x:c r="I113" s="113"/>
      <x:c r="J113" s="113"/>
      <x:c r="K113" s="113"/>
      <x:c r="L113" s="113"/>
      <x:c r="M113" s="113"/>
      <x:c r="N113" s="113"/>
      <x:c r="O113" s="113"/>
    </x:row>
    <x:row r="114">
      <x:c r="A114" s="113"/>
      <x:c r="B114" s="113"/>
      <x:c r="C114" s="113"/>
      <x:c r="D114" s="113"/>
      <x:c r="E114" s="113"/>
      <x:c r="F114" s="113"/>
      <x:c r="G114" s="113"/>
      <x:c r="H114" s="113"/>
      <x:c r="I114" s="113"/>
      <x:c r="J114" s="113"/>
      <x:c r="K114" s="113"/>
      <x:c r="L114" s="113"/>
      <x:c r="M114" s="113"/>
      <x:c r="N114" s="113"/>
      <x:c r="O114" s="113"/>
    </x:row>
    <x:row r="115">
      <x:c r="A115" s="113"/>
      <x:c r="B115" s="113"/>
      <x:c r="C115" s="113"/>
      <x:c r="D115" s="113"/>
      <x:c r="E115" s="113"/>
      <x:c r="F115" s="113"/>
      <x:c r="G115" s="113"/>
      <x:c r="H115" s="113"/>
      <x:c r="I115" s="113"/>
      <x:c r="J115" s="113"/>
      <x:c r="K115" s="113"/>
      <x:c r="L115" s="113"/>
      <x:c r="M115" s="113"/>
      <x:c r="N115" s="113"/>
      <x:c r="O115" s="113"/>
    </x:row>
    <x:row r="116">
      <x:c r="A116" s="113"/>
      <x:c r="B116" s="113"/>
      <x:c r="C116" s="113"/>
      <x:c r="D116" s="113"/>
      <x:c r="E116" s="113"/>
      <x:c r="F116" s="113"/>
      <x:c r="G116" s="113"/>
      <x:c r="H116" s="113"/>
      <x:c r="I116" s="113"/>
      <x:c r="J116" s="113"/>
      <x:c r="K116" s="113"/>
      <x:c r="L116" s="113"/>
      <x:c r="M116" s="113"/>
      <x:c r="N116" s="113"/>
      <x:c r="O116" s="113"/>
    </x:row>
    <x:row r="117">
      <x:c r="A117" s="113"/>
      <x:c r="B117" s="113"/>
      <x:c r="C117" s="113"/>
      <x:c r="D117" s="113"/>
      <x:c r="E117" s="113"/>
      <x:c r="F117" s="113"/>
      <x:c r="G117" s="113"/>
      <x:c r="H117" s="113"/>
      <x:c r="I117" s="113"/>
      <x:c r="J117" s="113"/>
      <x:c r="K117" s="113"/>
      <x:c r="L117" s="113"/>
      <x:c r="M117" s="113"/>
      <x:c r="N117" s="113"/>
      <x:c r="O117" s="113"/>
    </x:row>
    <x:row r="118">
      <x:c r="A118" s="113"/>
      <x:c r="B118" s="113"/>
      <x:c r="C118" s="113"/>
      <x:c r="D118" s="113"/>
      <x:c r="E118" s="113"/>
      <x:c r="F118" s="113"/>
      <x:c r="G118" s="113"/>
      <x:c r="H118" s="113"/>
      <x:c r="I118" s="113"/>
      <x:c r="J118" s="113"/>
      <x:c r="K118" s="113"/>
      <x:c r="L118" s="113"/>
      <x:c r="M118" s="113"/>
      <x:c r="N118" s="113"/>
      <x:c r="O118" s="113"/>
    </x:row>
    <x:row r="119">
      <x:c r="A119" s="113"/>
      <x:c r="B119" s="113"/>
      <x:c r="C119" s="113"/>
      <x:c r="D119" s="113"/>
      <x:c r="E119" s="113"/>
      <x:c r="F119" s="113"/>
      <x:c r="G119" s="113"/>
      <x:c r="H119" s="113"/>
      <x:c r="I119" s="113"/>
      <x:c r="J119" s="113"/>
      <x:c r="K119" s="113"/>
      <x:c r="L119" s="113"/>
      <x:c r="M119" s="113"/>
      <x:c r="N119" s="113"/>
      <x:c r="O119" s="113"/>
    </x:row>
    <x:row r="120">
      <x:c r="A120" s="113"/>
      <x:c r="B120" s="113"/>
      <x:c r="C120" s="113"/>
      <x:c r="D120" s="113"/>
      <x:c r="E120" s="113"/>
      <x:c r="F120" s="113"/>
      <x:c r="G120" s="113"/>
      <x:c r="H120" s="113"/>
      <x:c r="I120" s="113"/>
      <x:c r="J120" s="113"/>
      <x:c r="K120" s="113"/>
      <x:c r="L120" s="113"/>
      <x:c r="M120" s="113"/>
      <x:c r="N120" s="113"/>
      <x:c r="O120" s="113"/>
    </x:row>
  </x:sheetData>
  <x:mergeCells>
    <x:mergeCell ref="A1:L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4" hidden="0" customWidth="1"/>
    <x:col min="9" max="9" width="24" hidden="0" customWidth="1"/>
    <x:col min="10" max="10" width="18" hidden="0" customWidth="1"/>
    <x:col min="11" max="11" width="18" hidden="0" customWidth="1"/>
    <x:col min="12" max="12" width="38" hidden="0" customWidth="1"/>
  </x:cols>
  <x:sheetData>
    <x:row r="1" ht="28" customHeight="1">
      <x:c r="A1" s="77" t="str">
        <x:v>Kafka Topic、分区、保留与消费治理目录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113"/>
      <x:c r="N1" s="113"/>
      <x:c r="O1" s="113"/>
    </x:row>
    <x:row r="2">
      <x:c r="A2" s="113"/>
      <x:c r="B2" s="113"/>
      <x:c r="C2" s="113"/>
      <x:c r="D2" s="113"/>
      <x:c r="E2" s="113"/>
      <x:c r="F2" s="113"/>
      <x:c r="G2" s="113"/>
      <x:c r="H2" s="113"/>
      <x:c r="I2" s="113"/>
      <x:c r="J2" s="113"/>
      <x:c r="K2" s="113"/>
      <x:c r="L2" s="113"/>
      <x:c r="M2" s="113"/>
      <x:c r="N2" s="113"/>
      <x:c r="O2" s="113"/>
    </x:row>
    <x:row r="3">
      <x:c r="A3" s="113"/>
      <x:c r="B3" s="113"/>
      <x:c r="C3" s="113"/>
      <x:c r="D3" s="113"/>
      <x:c r="E3" s="113"/>
      <x:c r="F3" s="113"/>
      <x:c r="G3" s="113"/>
      <x:c r="H3" s="113"/>
      <x:c r="I3" s="113"/>
      <x:c r="J3" s="113"/>
      <x:c r="K3" s="113"/>
      <x:c r="L3" s="113"/>
      <x:c r="M3" s="113"/>
      <x:c r="N3" s="113"/>
      <x:c r="O3" s="113"/>
    </x:row>
    <x:row r="4">
      <x:c r="A4" s="80" t="str">
        <x:v>Topic</x:v>
      </x:c>
      <x:c r="B4" s="81" t="str">
        <x:v>Key</x:v>
      </x:c>
      <x:c r="C4" s="81" t="str">
        <x:v>分区建议</x:v>
      </x:c>
      <x:c r="D4" s="81" t="str">
        <x:v>副本</x:v>
      </x:c>
      <x:c r="E4" s="81" t="str">
        <x:v>清理策略</x:v>
      </x:c>
      <x:c r="F4" s="81" t="str">
        <x:v>保留</x:v>
      </x:c>
      <x:c r="G4" s="81" t="str">
        <x:v>Schema兼容</x:v>
      </x:c>
      <x:c r="H4" s="81" t="str">
        <x:v>生产者</x:v>
      </x:c>
      <x:c r="I4" s="81" t="str">
        <x:v>消费者</x:v>
      </x:c>
      <x:c r="J4" s="81" t="str">
        <x:v>敏感级</x:v>
      </x:c>
      <x:c r="K4" s="81" t="str">
        <x:v>DLQ</x:v>
      </x:c>
      <x:c r="L4" s="82" t="str">
        <x:v>顺序/幂等说明</x:v>
      </x:c>
      <x:c r="M4" s="113"/>
      <x:c r="N4" s="113"/>
      <x:c r="O4" s="113"/>
    </x:row>
    <x:row r="5">
      <x:c r="A5" s="115" t="str">
        <x:v>mdm.patient.changed.v1</x:v>
      </x:c>
      <x:c r="B5" s="116" t="str">
        <x:v>patientMdmId</x:v>
      </x:c>
      <x:c r="C5" s="116" t="n">
        <x:v>24</x:v>
      </x:c>
      <x:c r="D5" s="116" t="n">
        <x:v>3</x:v>
      </x:c>
      <x:c r="E5" s="116" t="str">
        <x:v>compact+delete</x:v>
      </x:c>
      <x:c r="F5" s="116" t="str">
        <x:v>30天</x:v>
      </x:c>
      <x:c r="G5" s="116" t="str">
        <x:v>BACKWARD_TRANSITIVE</x:v>
      </x:c>
      <x:c r="H5" s="116" t="str">
        <x:v>MDM Outbox</x:v>
      </x:c>
      <x:c r="I5" s="116" t="str">
        <x:v>CDR/HIS/EMR/科研入口</x:v>
      </x:c>
      <x:c r="J5" s="116" t="str">
        <x:v>高</x:v>
      </x:c>
      <x:c r="K5" s="116" t="str">
        <x:v>mdm.patient.changed.v1.dlq</x:v>
      </x:c>
      <x:c r="L5" s="119" t="str">
        <x:v>同一患者按Key有序；eventId幂等</x:v>
      </x:c>
      <x:c r="M5" s="113"/>
      <x:c r="N5" s="113"/>
      <x:c r="O5" s="113"/>
    </x:row>
    <x:row r="6">
      <x:c r="A6" s="115" t="str">
        <x:v>mdm.patient.merged.v1</x:v>
      </x:c>
      <x:c r="B6" s="116" t="str">
        <x:v>targetPatientMdmId</x:v>
      </x:c>
      <x:c r="C6" s="116" t="n">
        <x:v>12</x:v>
      </x:c>
      <x:c r="D6" s="116" t="n">
        <x:v>3</x:v>
      </x:c>
      <x:c r="E6" s="116" t="str">
        <x:v>delete</x:v>
      </x:c>
      <x:c r="F6" s="116" t="str">
        <x:v>90天</x:v>
      </x:c>
      <x:c r="G6" s="116" t="str">
        <x:v>FULL_TRANSITIVE</x:v>
      </x:c>
      <x:c r="H6" s="116" t="str">
        <x:v>EMPI服务</x:v>
      </x:c>
      <x:c r="I6" s="116" t="str">
        <x:v>患者数据消费者</x:v>
      </x:c>
      <x:c r="J6" s="116" t="str">
        <x:v>极高</x:v>
      </x:c>
      <x:c r="K6" s="116" t="str">
        <x:v>mdm.patient.merged.v1.dlq</x:v>
      </x:c>
      <x:c r="L6" s="119" t="str">
        <x:v>必须确认消费并支持补偿</x:v>
      </x:c>
      <x:c r="M6" s="113"/>
      <x:c r="N6" s="113"/>
      <x:c r="O6" s="113"/>
    </x:row>
    <x:row r="7">
      <x:c r="A7" s="115" t="str">
        <x:v>mdm.organization.changed.v1</x:v>
      </x:c>
      <x:c r="B7" s="116" t="str">
        <x:v>organizationMdmId</x:v>
      </x:c>
      <x:c r="C7" s="116" t="n">
        <x:v>12</x:v>
      </x:c>
      <x:c r="D7" s="116" t="n">
        <x:v>3</x:v>
      </x:c>
      <x:c r="E7" s="116" t="str">
        <x:v>compact+delete</x:v>
      </x:c>
      <x:c r="F7" s="116" t="str">
        <x:v>90天</x:v>
      </x:c>
      <x:c r="G7" s="116" t="str">
        <x:v>BACKWARD</x:v>
      </x:c>
      <x:c r="H7" s="116" t="str">
        <x:v>组织MDM</x:v>
      </x:c>
      <x:c r="I7" s="116" t="str">
        <x:v>全院系统</x:v>
      </x:c>
      <x:c r="J7" s="116" t="str">
        <x:v>内部</x:v>
      </x:c>
      <x:c r="K7" s="116" t="str">
        <x:v>mdm.organization.changed.v1.dlq</x:v>
      </x:c>
      <x:c r="L7" s="119" t="str">
        <x:v>按组织Key有序</x:v>
      </x:c>
      <x:c r="M7" s="113"/>
      <x:c r="N7" s="113"/>
      <x:c r="O7" s="113"/>
    </x:row>
    <x:row r="8">
      <x:c r="A8" s="115" t="str">
        <x:v>mdm.practitioner.changed.v1</x:v>
      </x:c>
      <x:c r="B8" s="116" t="str">
        <x:v>practitionerMdmId</x:v>
      </x:c>
      <x:c r="C8" s="116" t="n">
        <x:v>12</x:v>
      </x:c>
      <x:c r="D8" s="116" t="n">
        <x:v>3</x:v>
      </x:c>
      <x:c r="E8" s="116" t="str">
        <x:v>compact+delete</x:v>
      </x:c>
      <x:c r="F8" s="116" t="str">
        <x:v>30天</x:v>
      </x:c>
      <x:c r="G8" s="116" t="str">
        <x:v>BACKWARD</x:v>
      </x:c>
      <x:c r="H8" s="116" t="str">
        <x:v>人员MDM</x:v>
      </x:c>
      <x:c r="I8" s="116" t="str">
        <x:v>IAM/HIS/EMR/排班</x:v>
      </x:c>
      <x:c r="J8" s="116" t="str">
        <x:v>敏感</x:v>
      </x:c>
      <x:c r="K8" s="116" t="str">
        <x:v>mdm.practitioner.changed.v1.dlq</x:v>
      </x:c>
      <x:c r="L8" s="119" t="str">
        <x:v>离职事件高优先级</x:v>
      </x:c>
      <x:c r="M8" s="113"/>
      <x:c r="N8" s="113"/>
      <x:c r="O8" s="113"/>
    </x:row>
    <x:row r="9">
      <x:c r="A9" s="115" t="str">
        <x:v>mdm.medication.changed.v1</x:v>
      </x:c>
      <x:c r="B9" s="116" t="str">
        <x:v>medicationMdmId</x:v>
      </x:c>
      <x:c r="C9" s="116" t="n">
        <x:v>12</x:v>
      </x:c>
      <x:c r="D9" s="116" t="n">
        <x:v>3</x:v>
      </x:c>
      <x:c r="E9" s="116" t="str">
        <x:v>compact+delete</x:v>
      </x:c>
      <x:c r="F9" s="116" t="str">
        <x:v>90天</x:v>
      </x:c>
      <x:c r="G9" s="116" t="str">
        <x:v>BACKWARD</x:v>
      </x:c>
      <x:c r="H9" s="116" t="str">
        <x:v>药品MDM</x:v>
      </x:c>
      <x:c r="I9" s="116" t="str">
        <x:v>HIS/药学/医保/SPD</x:v>
      </x:c>
      <x:c r="J9" s="116" t="str">
        <x:v>内部</x:v>
      </x:c>
      <x:c r="K9" s="116" t="str">
        <x:v>mdm.medication.changed.v1.dlq</x:v>
      </x:c>
      <x:c r="L9" s="119" t="str">
        <x:v>停用事件不得丢失</x:v>
      </x:c>
      <x:c r="M9" s="113"/>
      <x:c r="N9" s="113"/>
      <x:c r="O9" s="113"/>
    </x:row>
    <x:row r="10">
      <x:c r="A10" s="115" t="str">
        <x:v>ref.valueset.published.v1</x:v>
      </x:c>
      <x:c r="B10" s="116" t="str">
        <x:v>valueSetCode</x:v>
      </x:c>
      <x:c r="C10" s="116" t="n">
        <x:v>6</x:v>
      </x:c>
      <x:c r="D10" s="116" t="n">
        <x:v>3</x:v>
      </x:c>
      <x:c r="E10" s="116" t="str">
        <x:v>compact+delete</x:v>
      </x:c>
      <x:c r="F10" s="116" t="str">
        <x:v>180天</x:v>
      </x:c>
      <x:c r="G10" s="116" t="str">
        <x:v>BACKWARD</x:v>
      </x:c>
      <x:c r="H10" s="116" t="str">
        <x:v>标准中心</x:v>
      </x:c>
      <x:c r="I10" s="116" t="str">
        <x:v>全院/ETL</x:v>
      </x:c>
      <x:c r="J10" s="116" t="str">
        <x:v>内部</x:v>
      </x:c>
      <x:c r="K10" s="116" t="str">
        <x:v>ref.valueset.published.v1.dlq</x:v>
      </x:c>
      <x:c r="L10" s="119" t="str">
        <x:v>包checksum校验</x:v>
      </x:c>
      <x:c r="M10" s="113"/>
      <x:c r="N10" s="113"/>
      <x:c r="O10" s="113"/>
    </x:row>
    <x:row r="11">
      <x:c r="A11" s="115" t="str">
        <x:v>dq.issue.created.v1</x:v>
      </x:c>
      <x:c r="B11" s="116" t="str">
        <x:v>issueNo</x:v>
      </x:c>
      <x:c r="C11" s="116" t="n">
        <x:v>6</x:v>
      </x:c>
      <x:c r="D11" s="116" t="n">
        <x:v>3</x:v>
      </x:c>
      <x:c r="E11" s="116" t="str">
        <x:v>delete</x:v>
      </x:c>
      <x:c r="F11" s="116" t="str">
        <x:v>90天</x:v>
      </x:c>
      <x:c r="G11" s="116" t="str">
        <x:v>BACKWARD</x:v>
      </x:c>
      <x:c r="H11" s="116" t="str">
        <x:v>质量平台</x:v>
      </x:c>
      <x:c r="I11" s="116" t="str">
        <x:v>工单/看板/Owner</x:v>
      </x:c>
      <x:c r="J11" s="116" t="str">
        <x:v>敏感元数据</x:v>
      </x:c>
      <x:c r="K11" s="116" t="str">
        <x:v>dq.issue.created.v1.dlq</x:v>
      </x:c>
      <x:c r="L11" s="119" t="str">
        <x:v>不携业务明文</x:v>
      </x:c>
      <x:c r="M11" s="113"/>
      <x:c r="N11" s="113"/>
      <x:c r="O11" s="113"/>
    </x:row>
    <x:row r="12">
      <x:c r="A12" s="115" t="str">
        <x:v>gov.change-request.status.v1</x:v>
      </x:c>
      <x:c r="B12" s="116" t="str">
        <x:v>requestNo</x:v>
      </x:c>
      <x:c r="C12" s="116" t="n">
        <x:v>6</x:v>
      </x:c>
      <x:c r="D12" s="116" t="n">
        <x:v>3</x:v>
      </x:c>
      <x:c r="E12" s="116" t="str">
        <x:v>compact+delete</x:v>
      </x:c>
      <x:c r="F12" s="116" t="str">
        <x:v>180天</x:v>
      </x:c>
      <x:c r="G12" s="116" t="str">
        <x:v>BACKWARD</x:v>
      </x:c>
      <x:c r="H12" s="116" t="str">
        <x:v>流程引擎</x:v>
      </x:c>
      <x:c r="I12" s="116" t="str">
        <x:v>门户/通知/审计</x:v>
      </x:c>
      <x:c r="J12" s="116" t="str">
        <x:v>内部</x:v>
      </x:c>
      <x:c r="K12" s="116" t="str">
        <x:v>gov.change-request.status.v1.dlq</x:v>
      </x:c>
      <x:c r="L12" s="119" t="str">
        <x:v>状态机单调演进</x:v>
      </x:c>
      <x:c r="M12" s="113"/>
      <x:c r="N12" s="113"/>
      <x:c r="O12" s="113"/>
    </x:row>
    <x:row r="13">
      <x:c r="A13" s="115" t="str">
        <x:v>audit.security-event.v1</x:v>
      </x:c>
      <x:c r="B13" s="116" t="str">
        <x:v>eventId</x:v>
      </x:c>
      <x:c r="C13" s="116" t="n">
        <x:v>24</x:v>
      </x:c>
      <x:c r="D13" s="116" t="n">
        <x:v>3</x:v>
      </x:c>
      <x:c r="E13" s="116" t="str">
        <x:v>delete</x:v>
      </x:c>
      <x:c r="F13" s="116" t="str">
        <x:v>30天在线+落湖</x:v>
      </x:c>
      <x:c r="G13" s="116" t="str">
        <x:v>BACKWARD</x:v>
      </x:c>
      <x:c r="H13" s="116" t="str">
        <x:v>网关/服务/IAM</x:v>
      </x:c>
      <x:c r="I13" s="116" t="str">
        <x:v>审计管道</x:v>
      </x:c>
      <x:c r="J13" s="116" t="str">
        <x:v>极高</x:v>
      </x:c>
      <x:c r="K13" s="116" t="str">
        <x:v>audit.security-event.v1.dlq</x:v>
      </x:c>
      <x:c r="L13" s="119" t="str">
        <x:v>WORM落地后可缩短在线保留</x:v>
      </x:c>
      <x:c r="M13" s="113"/>
      <x:c r="N13" s="113"/>
      <x:c r="O13" s="113"/>
    </x:row>
    <x:row r="14">
      <x:c r="A14" s="121" t="str">
        <x:v>integration.source-cdc.v1</x:v>
      </x:c>
      <x:c r="B14" s="123" t="str">
        <x:v>sourceTableKey</x:v>
      </x:c>
      <x:c r="C14" s="123" t="n">
        <x:v>48</x:v>
      </x:c>
      <x:c r="D14" s="123" t="n">
        <x:v>3</x:v>
      </x:c>
      <x:c r="E14" s="123" t="str">
        <x:v>delete</x:v>
      </x:c>
      <x:c r="F14" s="123" t="str">
        <x:v>7天</x:v>
      </x:c>
      <x:c r="G14" s="123" t="str">
        <x:v>BACKWARD</x:v>
      </x:c>
      <x:c r="H14" s="123" t="str">
        <x:v>Debezium</x:v>
      </x:c>
      <x:c r="I14" s="123" t="str">
        <x:v>标准化/ODS</x:v>
      </x:c>
      <x:c r="J14" s="123" t="str">
        <x:v>按源表</x:v>
      </x:c>
      <x:c r="K14" s="123" t="str">
        <x:v>integration.source-cdc.v1.dlq</x:v>
      </x:c>
      <x:c r="L14" s="124" t="str">
        <x:v>按表/主键分区，避免跨表顺序假设</x:v>
      </x:c>
      <x:c r="M14" s="113"/>
      <x:c r="N14" s="113"/>
      <x:c r="O14" s="113"/>
    </x:row>
    <x:row r="15">
      <x:c r="A15" s="113"/>
      <x:c r="B15" s="113"/>
      <x:c r="C15" s="113"/>
      <x:c r="D15" s="113"/>
      <x:c r="E15" s="113"/>
      <x:c r="F15" s="113"/>
      <x:c r="G15" s="113"/>
      <x:c r="H15" s="113"/>
      <x:c r="I15" s="113"/>
      <x:c r="J15" s="113"/>
      <x:c r="K15" s="113"/>
      <x:c r="L15" s="113"/>
      <x:c r="M15" s="113"/>
      <x:c r="N15" s="113"/>
      <x:c r="O15" s="113"/>
    </x:row>
    <x:row r="16">
      <x:c r="A16" s="113"/>
      <x:c r="B16" s="113"/>
      <x:c r="C16" s="113"/>
      <x:c r="D16" s="113"/>
      <x:c r="E16" s="113"/>
      <x:c r="F16" s="113"/>
      <x:c r="G16" s="113"/>
      <x:c r="H16" s="113"/>
      <x:c r="I16" s="113"/>
      <x:c r="J16" s="113"/>
      <x:c r="K16" s="113"/>
      <x:c r="L16" s="113"/>
      <x:c r="M16" s="113"/>
      <x:c r="N16" s="113"/>
      <x:c r="O16" s="113"/>
    </x:row>
    <x:row r="17">
      <x:c r="A17" s="113"/>
      <x:c r="B17" s="113"/>
      <x:c r="C17" s="113"/>
      <x:c r="D17" s="113"/>
      <x:c r="E17" s="113"/>
      <x:c r="F17" s="113"/>
      <x:c r="G17" s="113"/>
      <x:c r="H17" s="113"/>
      <x:c r="I17" s="113"/>
      <x:c r="J17" s="113"/>
      <x:c r="K17" s="113"/>
      <x:c r="L17" s="113"/>
      <x:c r="M17" s="113"/>
      <x:c r="N17" s="113"/>
      <x:c r="O17" s="113"/>
    </x:row>
    <x:row r="18">
      <x:c r="A18" s="113"/>
      <x:c r="B18" s="113"/>
      <x:c r="C18" s="113"/>
      <x:c r="D18" s="113"/>
      <x:c r="E18" s="113"/>
      <x:c r="F18" s="113"/>
      <x:c r="G18" s="113"/>
      <x:c r="H18" s="113"/>
      <x:c r="I18" s="113"/>
      <x:c r="J18" s="113"/>
      <x:c r="K18" s="113"/>
      <x:c r="L18" s="113"/>
      <x:c r="M18" s="113"/>
      <x:c r="N18" s="113"/>
      <x:c r="O18" s="113"/>
    </x:row>
    <x:row r="19">
      <x:c r="A19" s="113"/>
      <x:c r="B19" s="113"/>
      <x:c r="C19" s="113"/>
      <x:c r="D19" s="113"/>
      <x:c r="E19" s="113"/>
      <x:c r="F19" s="113"/>
      <x:c r="G19" s="113"/>
      <x:c r="H19" s="113"/>
      <x:c r="I19" s="113"/>
      <x:c r="J19" s="113"/>
      <x:c r="K19" s="113"/>
      <x:c r="L19" s="113"/>
      <x:c r="M19" s="113"/>
      <x:c r="N19" s="113"/>
      <x:c r="O19" s="113"/>
    </x:row>
    <x:row r="20">
      <x:c r="A20" s="113"/>
      <x:c r="B20" s="113"/>
      <x:c r="C20" s="113"/>
      <x:c r="D20" s="113"/>
      <x:c r="E20" s="113"/>
      <x:c r="F20" s="113"/>
      <x:c r="G20" s="113"/>
      <x:c r="H20" s="113"/>
      <x:c r="I20" s="113"/>
      <x:c r="J20" s="113"/>
      <x:c r="K20" s="113"/>
      <x:c r="L20" s="113"/>
      <x:c r="M20" s="113"/>
      <x:c r="N20" s="113"/>
      <x:c r="O20" s="113"/>
    </x:row>
    <x:row r="21">
      <x:c r="A21" s="113"/>
      <x:c r="B21" s="113"/>
      <x:c r="C21" s="113"/>
      <x:c r="D21" s="113"/>
      <x:c r="E21" s="113"/>
      <x:c r="F21" s="113"/>
      <x:c r="G21" s="113"/>
      <x:c r="H21" s="113"/>
      <x:c r="I21" s="113"/>
      <x:c r="J21" s="113"/>
      <x:c r="K21" s="113"/>
      <x:c r="L21" s="113"/>
      <x:c r="M21" s="113"/>
      <x:c r="N21" s="113"/>
      <x:c r="O21" s="113"/>
    </x:row>
    <x:row r="22">
      <x:c r="A22" s="113"/>
      <x:c r="B22" s="113"/>
      <x:c r="C22" s="113"/>
      <x:c r="D22" s="113"/>
      <x:c r="E22" s="113"/>
      <x:c r="F22" s="113"/>
      <x:c r="G22" s="113"/>
      <x:c r="H22" s="113"/>
      <x:c r="I22" s="113"/>
      <x:c r="J22" s="113"/>
      <x:c r="K22" s="113"/>
      <x:c r="L22" s="113"/>
      <x:c r="M22" s="113"/>
      <x:c r="N22" s="113"/>
      <x:c r="O22" s="113"/>
    </x:row>
    <x:row r="23">
      <x:c r="A23" s="113"/>
      <x:c r="B23" s="113"/>
      <x:c r="C23" s="113"/>
      <x:c r="D23" s="113"/>
      <x:c r="E23" s="113"/>
      <x:c r="F23" s="113"/>
      <x:c r="G23" s="113"/>
      <x:c r="H23" s="113"/>
      <x:c r="I23" s="113"/>
      <x:c r="J23" s="113"/>
      <x:c r="K23" s="113"/>
      <x:c r="L23" s="113"/>
      <x:c r="M23" s="113"/>
      <x:c r="N23" s="113"/>
      <x:c r="O23" s="113"/>
    </x:row>
    <x:row r="24">
      <x:c r="A24" s="113"/>
      <x:c r="B24" s="113"/>
      <x:c r="C24" s="113"/>
      <x:c r="D24" s="113"/>
      <x:c r="E24" s="113"/>
      <x:c r="F24" s="113"/>
      <x:c r="G24" s="113"/>
      <x:c r="H24" s="113"/>
      <x:c r="I24" s="113"/>
      <x:c r="J24" s="113"/>
      <x:c r="K24" s="113"/>
      <x:c r="L24" s="113"/>
      <x:c r="M24" s="113"/>
      <x:c r="N24" s="113"/>
      <x:c r="O24" s="113"/>
    </x:row>
    <x:row r="25">
      <x:c r="A25" s="113"/>
      <x:c r="B25" s="113"/>
      <x:c r="C25" s="113"/>
      <x:c r="D25" s="113"/>
      <x:c r="E25" s="113"/>
      <x:c r="F25" s="113"/>
      <x:c r="G25" s="113"/>
      <x:c r="H25" s="113"/>
      <x:c r="I25" s="113"/>
      <x:c r="J25" s="113"/>
      <x:c r="K25" s="113"/>
      <x:c r="L25" s="113"/>
      <x:c r="M25" s="113"/>
      <x:c r="N25" s="113"/>
      <x:c r="O25" s="113"/>
    </x:row>
    <x:row r="26">
      <x:c r="A26" s="113"/>
      <x:c r="B26" s="113"/>
      <x:c r="C26" s="113"/>
      <x:c r="D26" s="113"/>
      <x:c r="E26" s="113"/>
      <x:c r="F26" s="113"/>
      <x:c r="G26" s="113"/>
      <x:c r="H26" s="113"/>
      <x:c r="I26" s="113"/>
      <x:c r="J26" s="113"/>
      <x:c r="K26" s="113"/>
      <x:c r="L26" s="113"/>
      <x:c r="M26" s="113"/>
      <x:c r="N26" s="113"/>
      <x:c r="O26" s="113"/>
    </x:row>
    <x:row r="27">
      <x:c r="A27" s="113"/>
      <x:c r="B27" s="113"/>
      <x:c r="C27" s="113"/>
      <x:c r="D27" s="113"/>
      <x:c r="E27" s="113"/>
      <x:c r="F27" s="113"/>
      <x:c r="G27" s="113"/>
      <x:c r="H27" s="113"/>
      <x:c r="I27" s="113"/>
      <x:c r="J27" s="113"/>
      <x:c r="K27" s="113"/>
      <x:c r="L27" s="113"/>
      <x:c r="M27" s="113"/>
      <x:c r="N27" s="113"/>
      <x:c r="O27" s="113"/>
    </x:row>
    <x:row r="28">
      <x:c r="A28" s="113"/>
      <x:c r="B28" s="113"/>
      <x:c r="C28" s="113"/>
      <x:c r="D28" s="113"/>
      <x:c r="E28" s="113"/>
      <x:c r="F28" s="113"/>
      <x:c r="G28" s="113"/>
      <x:c r="H28" s="113"/>
      <x:c r="I28" s="113"/>
      <x:c r="J28" s="113"/>
      <x:c r="K28" s="113"/>
      <x:c r="L28" s="113"/>
      <x:c r="M28" s="113"/>
      <x:c r="N28" s="113"/>
      <x:c r="O28" s="113"/>
    </x:row>
    <x:row r="29">
      <x:c r="A29" s="113"/>
      <x:c r="B29" s="113"/>
      <x:c r="C29" s="113"/>
      <x:c r="D29" s="113"/>
      <x:c r="E29" s="113"/>
      <x:c r="F29" s="113"/>
      <x:c r="G29" s="113"/>
      <x:c r="H29" s="113"/>
      <x:c r="I29" s="113"/>
      <x:c r="J29" s="113"/>
      <x:c r="K29" s="113"/>
      <x:c r="L29" s="113"/>
      <x:c r="M29" s="113"/>
      <x:c r="N29" s="113"/>
      <x:c r="O29" s="113"/>
    </x:row>
    <x:row r="30">
      <x:c r="A30" s="113"/>
      <x:c r="B30" s="113"/>
      <x:c r="C30" s="113"/>
      <x:c r="D30" s="113"/>
      <x:c r="E30" s="113"/>
      <x:c r="F30" s="113"/>
      <x:c r="G30" s="113"/>
      <x:c r="H30" s="113"/>
      <x:c r="I30" s="113"/>
      <x:c r="J30" s="113"/>
      <x:c r="K30" s="113"/>
      <x:c r="L30" s="113"/>
      <x:c r="M30" s="113"/>
      <x:c r="N30" s="113"/>
      <x:c r="O30" s="113"/>
    </x:row>
    <x:row r="31">
      <x:c r="A31" s="113"/>
      <x:c r="B31" s="113"/>
      <x:c r="C31" s="113"/>
      <x:c r="D31" s="113"/>
      <x:c r="E31" s="113"/>
      <x:c r="F31" s="113"/>
      <x:c r="G31" s="113"/>
      <x:c r="H31" s="113"/>
      <x:c r="I31" s="113"/>
      <x:c r="J31" s="113"/>
      <x:c r="K31" s="113"/>
      <x:c r="L31" s="113"/>
      <x:c r="M31" s="113"/>
      <x:c r="N31" s="113"/>
      <x:c r="O31" s="113"/>
    </x:row>
    <x:row r="32">
      <x:c r="A32" s="113"/>
      <x:c r="B32" s="113"/>
      <x:c r="C32" s="113"/>
      <x:c r="D32" s="113"/>
      <x:c r="E32" s="113"/>
      <x:c r="F32" s="113"/>
      <x:c r="G32" s="113"/>
      <x:c r="H32" s="113"/>
      <x:c r="I32" s="113"/>
      <x:c r="J32" s="113"/>
      <x:c r="K32" s="113"/>
      <x:c r="L32" s="113"/>
      <x:c r="M32" s="113"/>
      <x:c r="N32" s="113"/>
      <x:c r="O32" s="113"/>
    </x:row>
    <x:row r="33">
      <x:c r="A33" s="113"/>
      <x:c r="B33" s="113"/>
      <x:c r="C33" s="113"/>
      <x:c r="D33" s="113"/>
      <x:c r="E33" s="113"/>
      <x:c r="F33" s="113"/>
      <x:c r="G33" s="113"/>
      <x:c r="H33" s="113"/>
      <x:c r="I33" s="113"/>
      <x:c r="J33" s="113"/>
      <x:c r="K33" s="113"/>
      <x:c r="L33" s="113"/>
      <x:c r="M33" s="113"/>
      <x:c r="N33" s="113"/>
      <x:c r="O33" s="113"/>
    </x:row>
    <x:row r="34">
      <x:c r="A34" s="113"/>
      <x:c r="B34" s="113"/>
      <x:c r="C34" s="113"/>
      <x:c r="D34" s="113"/>
      <x:c r="E34" s="113"/>
      <x:c r="F34" s="113"/>
      <x:c r="G34" s="113"/>
      <x:c r="H34" s="113"/>
      <x:c r="I34" s="113"/>
      <x:c r="J34" s="113"/>
      <x:c r="K34" s="113"/>
      <x:c r="L34" s="113"/>
      <x:c r="M34" s="113"/>
      <x:c r="N34" s="113"/>
      <x:c r="O34" s="113"/>
    </x:row>
    <x:row r="35">
      <x:c r="A35" s="113"/>
      <x:c r="B35" s="113"/>
      <x:c r="C35" s="113"/>
      <x:c r="D35" s="113"/>
      <x:c r="E35" s="113"/>
      <x:c r="F35" s="113"/>
      <x:c r="G35" s="113"/>
      <x:c r="H35" s="113"/>
      <x:c r="I35" s="113"/>
      <x:c r="J35" s="113"/>
      <x:c r="K35" s="113"/>
      <x:c r="L35" s="113"/>
      <x:c r="M35" s="113"/>
      <x:c r="N35" s="113"/>
      <x:c r="O35" s="113"/>
    </x:row>
    <x:row r="36">
      <x:c r="A36" s="113"/>
      <x:c r="B36" s="113"/>
      <x:c r="C36" s="113"/>
      <x:c r="D36" s="113"/>
      <x:c r="E36" s="113"/>
      <x:c r="F36" s="113"/>
      <x:c r="G36" s="113"/>
      <x:c r="H36" s="113"/>
      <x:c r="I36" s="113"/>
      <x:c r="J36" s="113"/>
      <x:c r="K36" s="113"/>
      <x:c r="L36" s="113"/>
      <x:c r="M36" s="113"/>
      <x:c r="N36" s="113"/>
      <x:c r="O36" s="113"/>
    </x:row>
    <x:row r="37">
      <x:c r="A37" s="113"/>
      <x:c r="B37" s="113"/>
      <x:c r="C37" s="113"/>
      <x:c r="D37" s="113"/>
      <x:c r="E37" s="113"/>
      <x:c r="F37" s="113"/>
      <x:c r="G37" s="113"/>
      <x:c r="H37" s="113"/>
      <x:c r="I37" s="113"/>
      <x:c r="J37" s="113"/>
      <x:c r="K37" s="113"/>
      <x:c r="L37" s="113"/>
      <x:c r="M37" s="113"/>
      <x:c r="N37" s="113"/>
      <x:c r="O37" s="113"/>
    </x:row>
    <x:row r="38">
      <x:c r="A38" s="113"/>
      <x:c r="B38" s="113"/>
      <x:c r="C38" s="113"/>
      <x:c r="D38" s="113"/>
      <x:c r="E38" s="113"/>
      <x:c r="F38" s="113"/>
      <x:c r="G38" s="113"/>
      <x:c r="H38" s="113"/>
      <x:c r="I38" s="113"/>
      <x:c r="J38" s="113"/>
      <x:c r="K38" s="113"/>
      <x:c r="L38" s="113"/>
      <x:c r="M38" s="113"/>
      <x:c r="N38" s="113"/>
      <x:c r="O38" s="113"/>
    </x:row>
    <x:row r="39">
      <x:c r="A39" s="113"/>
      <x:c r="B39" s="113"/>
      <x:c r="C39" s="113"/>
      <x:c r="D39" s="113"/>
      <x:c r="E39" s="113"/>
      <x:c r="F39" s="113"/>
      <x:c r="G39" s="113"/>
      <x:c r="H39" s="113"/>
      <x:c r="I39" s="113"/>
      <x:c r="J39" s="113"/>
      <x:c r="K39" s="113"/>
      <x:c r="L39" s="113"/>
      <x:c r="M39" s="113"/>
      <x:c r="N39" s="113"/>
      <x:c r="O39" s="113"/>
    </x:row>
    <x:row r="40">
      <x:c r="A40" s="113"/>
      <x:c r="B40" s="113"/>
      <x:c r="C40" s="113"/>
      <x:c r="D40" s="113"/>
      <x:c r="E40" s="113"/>
      <x:c r="F40" s="113"/>
      <x:c r="G40" s="113"/>
      <x:c r="H40" s="113"/>
      <x:c r="I40" s="113"/>
      <x:c r="J40" s="113"/>
      <x:c r="K40" s="113"/>
      <x:c r="L40" s="113"/>
      <x:c r="M40" s="113"/>
      <x:c r="N40" s="113"/>
      <x:c r="O40" s="113"/>
    </x:row>
    <x:row r="41">
      <x:c r="A41" s="113"/>
      <x:c r="B41" s="113"/>
      <x:c r="C41" s="113"/>
      <x:c r="D41" s="113"/>
      <x:c r="E41" s="113"/>
      <x:c r="F41" s="113"/>
      <x:c r="G41" s="113"/>
      <x:c r="H41" s="113"/>
      <x:c r="I41" s="113"/>
      <x:c r="J41" s="113"/>
      <x:c r="K41" s="113"/>
      <x:c r="L41" s="113"/>
      <x:c r="M41" s="113"/>
      <x:c r="N41" s="113"/>
      <x:c r="O41" s="113"/>
    </x:row>
    <x:row r="42">
      <x:c r="A42" s="113"/>
      <x:c r="B42" s="113"/>
      <x:c r="C42" s="113"/>
      <x:c r="D42" s="113"/>
      <x:c r="E42" s="113"/>
      <x:c r="F42" s="113"/>
      <x:c r="G42" s="113"/>
      <x:c r="H42" s="113"/>
      <x:c r="I42" s="113"/>
      <x:c r="J42" s="113"/>
      <x:c r="K42" s="113"/>
      <x:c r="L42" s="113"/>
      <x:c r="M42" s="113"/>
      <x:c r="N42" s="113"/>
      <x:c r="O42" s="113"/>
    </x:row>
    <x:row r="43">
      <x:c r="A43" s="113"/>
      <x:c r="B43" s="113"/>
      <x:c r="C43" s="113"/>
      <x:c r="D43" s="113"/>
      <x:c r="E43" s="113"/>
      <x:c r="F43" s="113"/>
      <x:c r="G43" s="113"/>
      <x:c r="H43" s="113"/>
      <x:c r="I43" s="113"/>
      <x:c r="J43" s="113"/>
      <x:c r="K43" s="113"/>
      <x:c r="L43" s="113"/>
      <x:c r="M43" s="113"/>
      <x:c r="N43" s="113"/>
      <x:c r="O43" s="113"/>
    </x:row>
    <x:row r="44">
      <x:c r="A44" s="113"/>
      <x:c r="B44" s="113"/>
      <x:c r="C44" s="113"/>
      <x:c r="D44" s="113"/>
      <x:c r="E44" s="113"/>
      <x:c r="F44" s="113"/>
      <x:c r="G44" s="113"/>
      <x:c r="H44" s="113"/>
      <x:c r="I44" s="113"/>
      <x:c r="J44" s="113"/>
      <x:c r="K44" s="113"/>
      <x:c r="L44" s="113"/>
      <x:c r="M44" s="113"/>
      <x:c r="N44" s="113"/>
      <x:c r="O44" s="113"/>
    </x:row>
    <x:row r="45">
      <x:c r="A45" s="113"/>
      <x:c r="B45" s="113"/>
      <x:c r="C45" s="113"/>
      <x:c r="D45" s="113"/>
      <x:c r="E45" s="113"/>
      <x:c r="F45" s="113"/>
      <x:c r="G45" s="113"/>
      <x:c r="H45" s="113"/>
      <x:c r="I45" s="113"/>
      <x:c r="J45" s="113"/>
      <x:c r="K45" s="113"/>
      <x:c r="L45" s="113"/>
      <x:c r="M45" s="113"/>
      <x:c r="N45" s="113"/>
      <x:c r="O45" s="113"/>
    </x:row>
    <x:row r="46">
      <x:c r="A46" s="113"/>
      <x:c r="B46" s="113"/>
      <x:c r="C46" s="113"/>
      <x:c r="D46" s="113"/>
      <x:c r="E46" s="113"/>
      <x:c r="F46" s="113"/>
      <x:c r="G46" s="113"/>
      <x:c r="H46" s="113"/>
      <x:c r="I46" s="113"/>
      <x:c r="J46" s="113"/>
      <x:c r="K46" s="113"/>
      <x:c r="L46" s="113"/>
      <x:c r="M46" s="113"/>
      <x:c r="N46" s="113"/>
      <x:c r="O46" s="113"/>
    </x:row>
    <x:row r="47">
      <x:c r="A47" s="113"/>
      <x:c r="B47" s="113"/>
      <x:c r="C47" s="113"/>
      <x:c r="D47" s="113"/>
      <x:c r="E47" s="113"/>
      <x:c r="F47" s="113"/>
      <x:c r="G47" s="113"/>
      <x:c r="H47" s="113"/>
      <x:c r="I47" s="113"/>
      <x:c r="J47" s="113"/>
      <x:c r="K47" s="113"/>
      <x:c r="L47" s="113"/>
      <x:c r="M47" s="113"/>
      <x:c r="N47" s="113"/>
      <x:c r="O47" s="113"/>
    </x:row>
    <x:row r="48">
      <x:c r="A48" s="113"/>
      <x:c r="B48" s="113"/>
      <x:c r="C48" s="113"/>
      <x:c r="D48" s="113"/>
      <x:c r="E48" s="113"/>
      <x:c r="F48" s="113"/>
      <x:c r="G48" s="113"/>
      <x:c r="H48" s="113"/>
      <x:c r="I48" s="113"/>
      <x:c r="J48" s="113"/>
      <x:c r="K48" s="113"/>
      <x:c r="L48" s="113"/>
      <x:c r="M48" s="113"/>
      <x:c r="N48" s="113"/>
      <x:c r="O48" s="113"/>
    </x:row>
    <x:row r="49">
      <x:c r="A49" s="113"/>
      <x:c r="B49" s="113"/>
      <x:c r="C49" s="113"/>
      <x:c r="D49" s="113"/>
      <x:c r="E49" s="113"/>
      <x:c r="F49" s="113"/>
      <x:c r="G49" s="113"/>
      <x:c r="H49" s="113"/>
      <x:c r="I49" s="113"/>
      <x:c r="J49" s="113"/>
      <x:c r="K49" s="113"/>
      <x:c r="L49" s="113"/>
      <x:c r="M49" s="113"/>
      <x:c r="N49" s="113"/>
      <x:c r="O49" s="113"/>
    </x:row>
    <x:row r="50">
      <x:c r="A50" s="113"/>
      <x:c r="B50" s="113"/>
      <x:c r="C50" s="113"/>
      <x:c r="D50" s="113"/>
      <x:c r="E50" s="113"/>
      <x:c r="F50" s="113"/>
      <x:c r="G50" s="113"/>
      <x:c r="H50" s="113"/>
      <x:c r="I50" s="113"/>
      <x:c r="J50" s="113"/>
      <x:c r="K50" s="113"/>
      <x:c r="L50" s="113"/>
      <x:c r="M50" s="113"/>
      <x:c r="N50" s="113"/>
      <x:c r="O50" s="113"/>
    </x:row>
    <x:row r="51">
      <x:c r="A51" s="113"/>
      <x:c r="B51" s="113"/>
      <x:c r="C51" s="113"/>
      <x:c r="D51" s="113"/>
      <x:c r="E51" s="113"/>
      <x:c r="F51" s="113"/>
      <x:c r="G51" s="113"/>
      <x:c r="H51" s="113"/>
      <x:c r="I51" s="113"/>
      <x:c r="J51" s="113"/>
      <x:c r="K51" s="113"/>
      <x:c r="L51" s="113"/>
      <x:c r="M51" s="113"/>
      <x:c r="N51" s="113"/>
      <x:c r="O51" s="113"/>
    </x:row>
    <x:row r="52">
      <x:c r="A52" s="113"/>
      <x:c r="B52" s="113"/>
      <x:c r="C52" s="113"/>
      <x:c r="D52" s="113"/>
      <x:c r="E52" s="113"/>
      <x:c r="F52" s="113"/>
      <x:c r="G52" s="113"/>
      <x:c r="H52" s="113"/>
      <x:c r="I52" s="113"/>
      <x:c r="J52" s="113"/>
      <x:c r="K52" s="113"/>
      <x:c r="L52" s="113"/>
      <x:c r="M52" s="113"/>
      <x:c r="N52" s="113"/>
      <x:c r="O52" s="113"/>
    </x:row>
    <x:row r="53">
      <x:c r="A53" s="113"/>
      <x:c r="B53" s="113"/>
      <x:c r="C53" s="113"/>
      <x:c r="D53" s="113"/>
      <x:c r="E53" s="113"/>
      <x:c r="F53" s="113"/>
      <x:c r="G53" s="113"/>
      <x:c r="H53" s="113"/>
      <x:c r="I53" s="113"/>
      <x:c r="J53" s="113"/>
      <x:c r="K53" s="113"/>
      <x:c r="L53" s="113"/>
      <x:c r="M53" s="113"/>
      <x:c r="N53" s="113"/>
      <x:c r="O53" s="113"/>
    </x:row>
    <x:row r="54">
      <x:c r="A54" s="113"/>
      <x:c r="B54" s="113"/>
      <x:c r="C54" s="113"/>
      <x:c r="D54" s="113"/>
      <x:c r="E54" s="113"/>
      <x:c r="F54" s="113"/>
      <x:c r="G54" s="113"/>
      <x:c r="H54" s="113"/>
      <x:c r="I54" s="113"/>
      <x:c r="J54" s="113"/>
      <x:c r="K54" s="113"/>
      <x:c r="L54" s="113"/>
      <x:c r="M54" s="113"/>
      <x:c r="N54" s="113"/>
      <x:c r="O54" s="113"/>
    </x:row>
    <x:row r="55">
      <x:c r="A55" s="113"/>
      <x:c r="B55" s="113"/>
      <x:c r="C55" s="113"/>
      <x:c r="D55" s="113"/>
      <x:c r="E55" s="113"/>
      <x:c r="F55" s="113"/>
      <x:c r="G55" s="113"/>
      <x:c r="H55" s="113"/>
      <x:c r="I55" s="113"/>
      <x:c r="J55" s="113"/>
      <x:c r="K55" s="113"/>
      <x:c r="L55" s="113"/>
      <x:c r="M55" s="113"/>
      <x:c r="N55" s="113"/>
      <x:c r="O55" s="113"/>
    </x:row>
    <x:row r="56">
      <x:c r="A56" s="113"/>
      <x:c r="B56" s="113"/>
      <x:c r="C56" s="113"/>
      <x:c r="D56" s="113"/>
      <x:c r="E56" s="113"/>
      <x:c r="F56" s="113"/>
      <x:c r="G56" s="113"/>
      <x:c r="H56" s="113"/>
      <x:c r="I56" s="113"/>
      <x:c r="J56" s="113"/>
      <x:c r="K56" s="113"/>
      <x:c r="L56" s="113"/>
      <x:c r="M56" s="113"/>
      <x:c r="N56" s="113"/>
      <x:c r="O56" s="113"/>
    </x:row>
    <x:row r="57">
      <x:c r="A57" s="113"/>
      <x:c r="B57" s="113"/>
      <x:c r="C57" s="113"/>
      <x:c r="D57" s="113"/>
      <x:c r="E57" s="113"/>
      <x:c r="F57" s="113"/>
      <x:c r="G57" s="113"/>
      <x:c r="H57" s="113"/>
      <x:c r="I57" s="113"/>
      <x:c r="J57" s="113"/>
      <x:c r="K57" s="113"/>
      <x:c r="L57" s="113"/>
      <x:c r="M57" s="113"/>
      <x:c r="N57" s="113"/>
      <x:c r="O57" s="113"/>
    </x:row>
    <x:row r="58">
      <x:c r="A58" s="113"/>
      <x:c r="B58" s="113"/>
      <x:c r="C58" s="113"/>
      <x:c r="D58" s="113"/>
      <x:c r="E58" s="113"/>
      <x:c r="F58" s="113"/>
      <x:c r="G58" s="113"/>
      <x:c r="H58" s="113"/>
      <x:c r="I58" s="113"/>
      <x:c r="J58" s="113"/>
      <x:c r="K58" s="113"/>
      <x:c r="L58" s="113"/>
      <x:c r="M58" s="113"/>
      <x:c r="N58" s="113"/>
      <x:c r="O58" s="113"/>
    </x:row>
    <x:row r="59">
      <x:c r="A59" s="113"/>
      <x:c r="B59" s="113"/>
      <x:c r="C59" s="113"/>
      <x:c r="D59" s="113"/>
      <x:c r="E59" s="113"/>
      <x:c r="F59" s="113"/>
      <x:c r="G59" s="113"/>
      <x:c r="H59" s="113"/>
      <x:c r="I59" s="113"/>
      <x:c r="J59" s="113"/>
      <x:c r="K59" s="113"/>
      <x:c r="L59" s="113"/>
      <x:c r="M59" s="113"/>
      <x:c r="N59" s="113"/>
      <x:c r="O59" s="113"/>
    </x:row>
    <x:row r="60">
      <x:c r="A60" s="113"/>
      <x:c r="B60" s="113"/>
      <x:c r="C60" s="113"/>
      <x:c r="D60" s="113"/>
      <x:c r="E60" s="113"/>
      <x:c r="F60" s="113"/>
      <x:c r="G60" s="113"/>
      <x:c r="H60" s="113"/>
      <x:c r="I60" s="113"/>
      <x:c r="J60" s="113"/>
      <x:c r="K60" s="113"/>
      <x:c r="L60" s="113"/>
      <x:c r="M60" s="113"/>
      <x:c r="N60" s="113"/>
      <x:c r="O60" s="113"/>
    </x:row>
    <x:row r="61">
      <x:c r="A61" s="113"/>
      <x:c r="B61" s="113"/>
      <x:c r="C61" s="113"/>
      <x:c r="D61" s="113"/>
      <x:c r="E61" s="113"/>
      <x:c r="F61" s="113"/>
      <x:c r="G61" s="113"/>
      <x:c r="H61" s="113"/>
      <x:c r="I61" s="113"/>
      <x:c r="J61" s="113"/>
      <x:c r="K61" s="113"/>
      <x:c r="L61" s="113"/>
      <x:c r="M61" s="113"/>
      <x:c r="N61" s="113"/>
      <x:c r="O61" s="113"/>
    </x:row>
    <x:row r="62">
      <x:c r="A62" s="113"/>
      <x:c r="B62" s="113"/>
      <x:c r="C62" s="113"/>
      <x:c r="D62" s="113"/>
      <x:c r="E62" s="113"/>
      <x:c r="F62" s="113"/>
      <x:c r="G62" s="113"/>
      <x:c r="H62" s="113"/>
      <x:c r="I62" s="113"/>
      <x:c r="J62" s="113"/>
      <x:c r="K62" s="113"/>
      <x:c r="L62" s="113"/>
      <x:c r="M62" s="113"/>
      <x:c r="N62" s="113"/>
      <x:c r="O62" s="113"/>
    </x:row>
    <x:row r="63">
      <x:c r="A63" s="113"/>
      <x:c r="B63" s="113"/>
      <x:c r="C63" s="113"/>
      <x:c r="D63" s="113"/>
      <x:c r="E63" s="113"/>
      <x:c r="F63" s="113"/>
      <x:c r="G63" s="113"/>
      <x:c r="H63" s="113"/>
      <x:c r="I63" s="113"/>
      <x:c r="J63" s="113"/>
      <x:c r="K63" s="113"/>
      <x:c r="L63" s="113"/>
      <x:c r="M63" s="113"/>
      <x:c r="N63" s="113"/>
      <x:c r="O63" s="113"/>
    </x:row>
    <x:row r="64">
      <x:c r="A64" s="113"/>
      <x:c r="B64" s="113"/>
      <x:c r="C64" s="113"/>
      <x:c r="D64" s="113"/>
      <x:c r="E64" s="113"/>
      <x:c r="F64" s="113"/>
      <x:c r="G64" s="113"/>
      <x:c r="H64" s="113"/>
      <x:c r="I64" s="113"/>
      <x:c r="J64" s="113"/>
      <x:c r="K64" s="113"/>
      <x:c r="L64" s="113"/>
      <x:c r="M64" s="113"/>
      <x:c r="N64" s="113"/>
      <x:c r="O64" s="113"/>
    </x:row>
    <x:row r="65">
      <x:c r="A65" s="113"/>
      <x:c r="B65" s="113"/>
      <x:c r="C65" s="113"/>
      <x:c r="D65" s="113"/>
      <x:c r="E65" s="113"/>
      <x:c r="F65" s="113"/>
      <x:c r="G65" s="113"/>
      <x:c r="H65" s="113"/>
      <x:c r="I65" s="113"/>
      <x:c r="J65" s="113"/>
      <x:c r="K65" s="113"/>
      <x:c r="L65" s="113"/>
      <x:c r="M65" s="113"/>
      <x:c r="N65" s="113"/>
      <x:c r="O65" s="113"/>
    </x:row>
    <x:row r="66">
      <x:c r="A66" s="113"/>
      <x:c r="B66" s="113"/>
      <x:c r="C66" s="113"/>
      <x:c r="D66" s="113"/>
      <x:c r="E66" s="113"/>
      <x:c r="F66" s="113"/>
      <x:c r="G66" s="113"/>
      <x:c r="H66" s="113"/>
      <x:c r="I66" s="113"/>
      <x:c r="J66" s="113"/>
      <x:c r="K66" s="113"/>
      <x:c r="L66" s="113"/>
      <x:c r="M66" s="113"/>
      <x:c r="N66" s="113"/>
      <x:c r="O66" s="113"/>
    </x:row>
    <x:row r="67">
      <x:c r="A67" s="113"/>
      <x:c r="B67" s="113"/>
      <x:c r="C67" s="113"/>
      <x:c r="D67" s="113"/>
      <x:c r="E67" s="113"/>
      <x:c r="F67" s="113"/>
      <x:c r="G67" s="113"/>
      <x:c r="H67" s="113"/>
      <x:c r="I67" s="113"/>
      <x:c r="J67" s="113"/>
      <x:c r="K67" s="113"/>
      <x:c r="L67" s="113"/>
      <x:c r="M67" s="113"/>
      <x:c r="N67" s="113"/>
      <x:c r="O67" s="113"/>
    </x:row>
    <x:row r="68">
      <x:c r="A68" s="113"/>
      <x:c r="B68" s="113"/>
      <x:c r="C68" s="113"/>
      <x:c r="D68" s="113"/>
      <x:c r="E68" s="113"/>
      <x:c r="F68" s="113"/>
      <x:c r="G68" s="113"/>
      <x:c r="H68" s="113"/>
      <x:c r="I68" s="113"/>
      <x:c r="J68" s="113"/>
      <x:c r="K68" s="113"/>
      <x:c r="L68" s="113"/>
      <x:c r="M68" s="113"/>
      <x:c r="N68" s="113"/>
      <x:c r="O68" s="113"/>
    </x:row>
    <x:row r="69">
      <x:c r="A69" s="113"/>
      <x:c r="B69" s="113"/>
      <x:c r="C69" s="113"/>
      <x:c r="D69" s="113"/>
      <x:c r="E69" s="113"/>
      <x:c r="F69" s="113"/>
      <x:c r="G69" s="113"/>
      <x:c r="H69" s="113"/>
      <x:c r="I69" s="113"/>
      <x:c r="J69" s="113"/>
      <x:c r="K69" s="113"/>
      <x:c r="L69" s="113"/>
      <x:c r="M69" s="113"/>
      <x:c r="N69" s="113"/>
      <x:c r="O69" s="113"/>
    </x:row>
    <x:row r="70">
      <x:c r="A70" s="113"/>
      <x:c r="B70" s="113"/>
      <x:c r="C70" s="113"/>
      <x:c r="D70" s="113"/>
      <x:c r="E70" s="113"/>
      <x:c r="F70" s="113"/>
      <x:c r="G70" s="113"/>
      <x:c r="H70" s="113"/>
      <x:c r="I70" s="113"/>
      <x:c r="J70" s="113"/>
      <x:c r="K70" s="113"/>
      <x:c r="L70" s="113"/>
      <x:c r="M70" s="113"/>
      <x:c r="N70" s="113"/>
      <x:c r="O70" s="113"/>
    </x:row>
    <x:row r="71">
      <x:c r="A71" s="113"/>
      <x:c r="B71" s="113"/>
      <x:c r="C71" s="113"/>
      <x:c r="D71" s="113"/>
      <x:c r="E71" s="113"/>
      <x:c r="F71" s="113"/>
      <x:c r="G71" s="113"/>
      <x:c r="H71" s="113"/>
      <x:c r="I71" s="113"/>
      <x:c r="J71" s="113"/>
      <x:c r="K71" s="113"/>
      <x:c r="L71" s="113"/>
      <x:c r="M71" s="113"/>
      <x:c r="N71" s="113"/>
      <x:c r="O71" s="113"/>
    </x:row>
    <x:row r="72">
      <x:c r="A72" s="113"/>
      <x:c r="B72" s="113"/>
      <x:c r="C72" s="113"/>
      <x:c r="D72" s="113"/>
      <x:c r="E72" s="113"/>
      <x:c r="F72" s="113"/>
      <x:c r="G72" s="113"/>
      <x:c r="H72" s="113"/>
      <x:c r="I72" s="113"/>
      <x:c r="J72" s="113"/>
      <x:c r="K72" s="113"/>
      <x:c r="L72" s="113"/>
      <x:c r="M72" s="113"/>
      <x:c r="N72" s="113"/>
      <x:c r="O72" s="113"/>
    </x:row>
    <x:row r="73">
      <x:c r="A73" s="113"/>
      <x:c r="B73" s="113"/>
      <x:c r="C73" s="113"/>
      <x:c r="D73" s="113"/>
      <x:c r="E73" s="113"/>
      <x:c r="F73" s="113"/>
      <x:c r="G73" s="113"/>
      <x:c r="H73" s="113"/>
      <x:c r="I73" s="113"/>
      <x:c r="J73" s="113"/>
      <x:c r="K73" s="113"/>
      <x:c r="L73" s="113"/>
      <x:c r="M73" s="113"/>
      <x:c r="N73" s="113"/>
      <x:c r="O73" s="113"/>
    </x:row>
    <x:row r="74">
      <x:c r="A74" s="113"/>
      <x:c r="B74" s="113"/>
      <x:c r="C74" s="113"/>
      <x:c r="D74" s="113"/>
      <x:c r="E74" s="113"/>
      <x:c r="F74" s="113"/>
      <x:c r="G74" s="113"/>
      <x:c r="H74" s="113"/>
      <x:c r="I74" s="113"/>
      <x:c r="J74" s="113"/>
      <x:c r="K74" s="113"/>
      <x:c r="L74" s="113"/>
      <x:c r="M74" s="113"/>
      <x:c r="N74" s="113"/>
      <x:c r="O74" s="113"/>
    </x:row>
    <x:row r="75">
      <x:c r="A75" s="113"/>
      <x:c r="B75" s="113"/>
      <x:c r="C75" s="113"/>
      <x:c r="D75" s="113"/>
      <x:c r="E75" s="113"/>
      <x:c r="F75" s="113"/>
      <x:c r="G75" s="113"/>
      <x:c r="H75" s="113"/>
      <x:c r="I75" s="113"/>
      <x:c r="J75" s="113"/>
      <x:c r="K75" s="113"/>
      <x:c r="L75" s="113"/>
      <x:c r="M75" s="113"/>
      <x:c r="N75" s="113"/>
      <x:c r="O75" s="113"/>
    </x:row>
    <x:row r="76">
      <x:c r="A76" s="113"/>
      <x:c r="B76" s="113"/>
      <x:c r="C76" s="113"/>
      <x:c r="D76" s="113"/>
      <x:c r="E76" s="113"/>
      <x:c r="F76" s="113"/>
      <x:c r="G76" s="113"/>
      <x:c r="H76" s="113"/>
      <x:c r="I76" s="113"/>
      <x:c r="J76" s="113"/>
      <x:c r="K76" s="113"/>
      <x:c r="L76" s="113"/>
      <x:c r="M76" s="113"/>
      <x:c r="N76" s="113"/>
      <x:c r="O76" s="113"/>
    </x:row>
    <x:row r="77">
      <x:c r="A77" s="113"/>
      <x:c r="B77" s="113"/>
      <x:c r="C77" s="113"/>
      <x:c r="D77" s="113"/>
      <x:c r="E77" s="113"/>
      <x:c r="F77" s="113"/>
      <x:c r="G77" s="113"/>
      <x:c r="H77" s="113"/>
      <x:c r="I77" s="113"/>
      <x:c r="J77" s="113"/>
      <x:c r="K77" s="113"/>
      <x:c r="L77" s="113"/>
      <x:c r="M77" s="113"/>
      <x:c r="N77" s="113"/>
      <x:c r="O77" s="113"/>
    </x:row>
    <x:row r="78">
      <x:c r="A78" s="113"/>
      <x:c r="B78" s="113"/>
      <x:c r="C78" s="113"/>
      <x:c r="D78" s="113"/>
      <x:c r="E78" s="113"/>
      <x:c r="F78" s="113"/>
      <x:c r="G78" s="113"/>
      <x:c r="H78" s="113"/>
      <x:c r="I78" s="113"/>
      <x:c r="J78" s="113"/>
      <x:c r="K78" s="113"/>
      <x:c r="L78" s="113"/>
      <x:c r="M78" s="113"/>
      <x:c r="N78" s="113"/>
      <x:c r="O78" s="113"/>
    </x:row>
    <x:row r="79">
      <x:c r="A79" s="113"/>
      <x:c r="B79" s="113"/>
      <x:c r="C79" s="113"/>
      <x:c r="D79" s="113"/>
      <x:c r="E79" s="113"/>
      <x:c r="F79" s="113"/>
      <x:c r="G79" s="113"/>
      <x:c r="H79" s="113"/>
      <x:c r="I79" s="113"/>
      <x:c r="J79" s="113"/>
      <x:c r="K79" s="113"/>
      <x:c r="L79" s="113"/>
      <x:c r="M79" s="113"/>
      <x:c r="N79" s="113"/>
      <x:c r="O79" s="113"/>
    </x:row>
    <x:row r="80">
      <x:c r="A80" s="113"/>
      <x:c r="B80" s="113"/>
      <x:c r="C80" s="113"/>
      <x:c r="D80" s="113"/>
      <x:c r="E80" s="113"/>
      <x:c r="F80" s="113"/>
      <x:c r="G80" s="113"/>
      <x:c r="H80" s="113"/>
      <x:c r="I80" s="113"/>
      <x:c r="J80" s="113"/>
      <x:c r="K80" s="113"/>
      <x:c r="L80" s="113"/>
      <x:c r="M80" s="113"/>
      <x:c r="N80" s="113"/>
      <x:c r="O80" s="113"/>
    </x:row>
    <x:row r="81">
      <x:c r="A81" s="113"/>
      <x:c r="B81" s="113"/>
      <x:c r="C81" s="113"/>
      <x:c r="D81" s="113"/>
      <x:c r="E81" s="113"/>
      <x:c r="F81" s="113"/>
      <x:c r="G81" s="113"/>
      <x:c r="H81" s="113"/>
      <x:c r="I81" s="113"/>
      <x:c r="J81" s="113"/>
      <x:c r="K81" s="113"/>
      <x:c r="L81" s="113"/>
      <x:c r="M81" s="113"/>
      <x:c r="N81" s="113"/>
      <x:c r="O81" s="113"/>
    </x:row>
    <x:row r="82">
      <x:c r="A82" s="113"/>
      <x:c r="B82" s="113"/>
      <x:c r="C82" s="113"/>
      <x:c r="D82" s="113"/>
      <x:c r="E82" s="113"/>
      <x:c r="F82" s="113"/>
      <x:c r="G82" s="113"/>
      <x:c r="H82" s="113"/>
      <x:c r="I82" s="113"/>
      <x:c r="J82" s="113"/>
      <x:c r="K82" s="113"/>
      <x:c r="L82" s="113"/>
      <x:c r="M82" s="113"/>
      <x:c r="N82" s="113"/>
      <x:c r="O82" s="113"/>
    </x:row>
    <x:row r="83">
      <x:c r="A83" s="113"/>
      <x:c r="B83" s="113"/>
      <x:c r="C83" s="113"/>
      <x:c r="D83" s="113"/>
      <x:c r="E83" s="113"/>
      <x:c r="F83" s="113"/>
      <x:c r="G83" s="113"/>
      <x:c r="H83" s="113"/>
      <x:c r="I83" s="113"/>
      <x:c r="J83" s="113"/>
      <x:c r="K83" s="113"/>
      <x:c r="L83" s="113"/>
      <x:c r="M83" s="113"/>
      <x:c r="N83" s="113"/>
      <x:c r="O83" s="113"/>
    </x:row>
    <x:row r="84">
      <x:c r="A84" s="113"/>
      <x:c r="B84" s="113"/>
      <x:c r="C84" s="113"/>
      <x:c r="D84" s="113"/>
      <x:c r="E84" s="113"/>
      <x:c r="F84" s="113"/>
      <x:c r="G84" s="113"/>
      <x:c r="H84" s="113"/>
      <x:c r="I84" s="113"/>
      <x:c r="J84" s="113"/>
      <x:c r="K84" s="113"/>
      <x:c r="L84" s="113"/>
      <x:c r="M84" s="113"/>
      <x:c r="N84" s="113"/>
      <x:c r="O84" s="113"/>
    </x:row>
    <x:row r="85">
      <x:c r="A85" s="113"/>
      <x:c r="B85" s="113"/>
      <x:c r="C85" s="113"/>
      <x:c r="D85" s="113"/>
      <x:c r="E85" s="113"/>
      <x:c r="F85" s="113"/>
      <x:c r="G85" s="113"/>
      <x:c r="H85" s="113"/>
      <x:c r="I85" s="113"/>
      <x:c r="J85" s="113"/>
      <x:c r="K85" s="113"/>
      <x:c r="L85" s="113"/>
      <x:c r="M85" s="113"/>
      <x:c r="N85" s="113"/>
      <x:c r="O85" s="113"/>
    </x:row>
    <x:row r="86">
      <x:c r="A86" s="113"/>
      <x:c r="B86" s="113"/>
      <x:c r="C86" s="113"/>
      <x:c r="D86" s="113"/>
      <x:c r="E86" s="113"/>
      <x:c r="F86" s="113"/>
      <x:c r="G86" s="113"/>
      <x:c r="H86" s="113"/>
      <x:c r="I86" s="113"/>
      <x:c r="J86" s="113"/>
      <x:c r="K86" s="113"/>
      <x:c r="L86" s="113"/>
      <x:c r="M86" s="113"/>
      <x:c r="N86" s="113"/>
      <x:c r="O86" s="113"/>
    </x:row>
    <x:row r="87">
      <x:c r="A87" s="113"/>
      <x:c r="B87" s="113"/>
      <x:c r="C87" s="113"/>
      <x:c r="D87" s="113"/>
      <x:c r="E87" s="113"/>
      <x:c r="F87" s="113"/>
      <x:c r="G87" s="113"/>
      <x:c r="H87" s="113"/>
      <x:c r="I87" s="113"/>
      <x:c r="J87" s="113"/>
      <x:c r="K87" s="113"/>
      <x:c r="L87" s="113"/>
      <x:c r="M87" s="113"/>
      <x:c r="N87" s="113"/>
      <x:c r="O87" s="113"/>
    </x:row>
    <x:row r="88">
      <x:c r="A88" s="113"/>
      <x:c r="B88" s="113"/>
      <x:c r="C88" s="113"/>
      <x:c r="D88" s="113"/>
      <x:c r="E88" s="113"/>
      <x:c r="F88" s="113"/>
      <x:c r="G88" s="113"/>
      <x:c r="H88" s="113"/>
      <x:c r="I88" s="113"/>
      <x:c r="J88" s="113"/>
      <x:c r="K88" s="113"/>
      <x:c r="L88" s="113"/>
      <x:c r="M88" s="113"/>
      <x:c r="N88" s="113"/>
      <x:c r="O88" s="113"/>
    </x:row>
    <x:row r="89">
      <x:c r="A89" s="113"/>
      <x:c r="B89" s="113"/>
      <x:c r="C89" s="113"/>
      <x:c r="D89" s="113"/>
      <x:c r="E89" s="113"/>
      <x:c r="F89" s="113"/>
      <x:c r="G89" s="113"/>
      <x:c r="H89" s="113"/>
      <x:c r="I89" s="113"/>
      <x:c r="J89" s="113"/>
      <x:c r="K89" s="113"/>
      <x:c r="L89" s="113"/>
      <x:c r="M89" s="113"/>
      <x:c r="N89" s="113"/>
      <x:c r="O89" s="113"/>
    </x:row>
    <x:row r="90">
      <x:c r="A90" s="113"/>
      <x:c r="B90" s="113"/>
      <x:c r="C90" s="113"/>
      <x:c r="D90" s="113"/>
      <x:c r="E90" s="113"/>
      <x:c r="F90" s="113"/>
      <x:c r="G90" s="113"/>
      <x:c r="H90" s="113"/>
      <x:c r="I90" s="113"/>
      <x:c r="J90" s="113"/>
      <x:c r="K90" s="113"/>
      <x:c r="L90" s="113"/>
      <x:c r="M90" s="113"/>
      <x:c r="N90" s="113"/>
      <x:c r="O90" s="113"/>
    </x:row>
    <x:row r="91">
      <x:c r="A91" s="113"/>
      <x:c r="B91" s="113"/>
      <x:c r="C91" s="113"/>
      <x:c r="D91" s="113"/>
      <x:c r="E91" s="113"/>
      <x:c r="F91" s="113"/>
      <x:c r="G91" s="113"/>
      <x:c r="H91" s="113"/>
      <x:c r="I91" s="113"/>
      <x:c r="J91" s="113"/>
      <x:c r="K91" s="113"/>
      <x:c r="L91" s="113"/>
      <x:c r="M91" s="113"/>
      <x:c r="N91" s="113"/>
      <x:c r="O91" s="113"/>
    </x:row>
    <x:row r="92">
      <x:c r="A92" s="113"/>
      <x:c r="B92" s="113"/>
      <x:c r="C92" s="113"/>
      <x:c r="D92" s="113"/>
      <x:c r="E92" s="113"/>
      <x:c r="F92" s="113"/>
      <x:c r="G92" s="113"/>
      <x:c r="H92" s="113"/>
      <x:c r="I92" s="113"/>
      <x:c r="J92" s="113"/>
      <x:c r="K92" s="113"/>
      <x:c r="L92" s="113"/>
      <x:c r="M92" s="113"/>
      <x:c r="N92" s="113"/>
      <x:c r="O92" s="113"/>
    </x:row>
    <x:row r="93">
      <x:c r="A93" s="113"/>
      <x:c r="B93" s="113"/>
      <x:c r="C93" s="113"/>
      <x:c r="D93" s="113"/>
      <x:c r="E93" s="113"/>
      <x:c r="F93" s="113"/>
      <x:c r="G93" s="113"/>
      <x:c r="H93" s="113"/>
      <x:c r="I93" s="113"/>
      <x:c r="J93" s="113"/>
      <x:c r="K93" s="113"/>
      <x:c r="L93" s="113"/>
      <x:c r="M93" s="113"/>
      <x:c r="N93" s="113"/>
      <x:c r="O93" s="113"/>
    </x:row>
    <x:row r="94">
      <x:c r="A94" s="113"/>
      <x:c r="B94" s="113"/>
      <x:c r="C94" s="113"/>
      <x:c r="D94" s="113"/>
      <x:c r="E94" s="113"/>
      <x:c r="F94" s="113"/>
      <x:c r="G94" s="113"/>
      <x:c r="H94" s="113"/>
      <x:c r="I94" s="113"/>
      <x:c r="J94" s="113"/>
      <x:c r="K94" s="113"/>
      <x:c r="L94" s="113"/>
      <x:c r="M94" s="113"/>
      <x:c r="N94" s="113"/>
      <x:c r="O94" s="113"/>
    </x:row>
    <x:row r="95">
      <x:c r="A95" s="113"/>
      <x:c r="B95" s="113"/>
      <x:c r="C95" s="113"/>
      <x:c r="D95" s="113"/>
      <x:c r="E95" s="113"/>
      <x:c r="F95" s="113"/>
      <x:c r="G95" s="113"/>
      <x:c r="H95" s="113"/>
      <x:c r="I95" s="113"/>
      <x:c r="J95" s="113"/>
      <x:c r="K95" s="113"/>
      <x:c r="L95" s="113"/>
      <x:c r="M95" s="113"/>
      <x:c r="N95" s="113"/>
      <x:c r="O95" s="113"/>
    </x:row>
    <x:row r="96">
      <x:c r="A96" s="113"/>
      <x:c r="B96" s="113"/>
      <x:c r="C96" s="113"/>
      <x:c r="D96" s="113"/>
      <x:c r="E96" s="113"/>
      <x:c r="F96" s="113"/>
      <x:c r="G96" s="113"/>
      <x:c r="H96" s="113"/>
      <x:c r="I96" s="113"/>
      <x:c r="J96" s="113"/>
      <x:c r="K96" s="113"/>
      <x:c r="L96" s="113"/>
      <x:c r="M96" s="113"/>
      <x:c r="N96" s="113"/>
      <x:c r="O96" s="113"/>
    </x:row>
    <x:row r="97">
      <x:c r="A97" s="113"/>
      <x:c r="B97" s="113"/>
      <x:c r="C97" s="113"/>
      <x:c r="D97" s="113"/>
      <x:c r="E97" s="113"/>
      <x:c r="F97" s="113"/>
      <x:c r="G97" s="113"/>
      <x:c r="H97" s="113"/>
      <x:c r="I97" s="113"/>
      <x:c r="J97" s="113"/>
      <x:c r="K97" s="113"/>
      <x:c r="L97" s="113"/>
      <x:c r="M97" s="113"/>
      <x:c r="N97" s="113"/>
      <x:c r="O97" s="113"/>
    </x:row>
    <x:row r="98">
      <x:c r="A98" s="113"/>
      <x:c r="B98" s="113"/>
      <x:c r="C98" s="113"/>
      <x:c r="D98" s="113"/>
      <x:c r="E98" s="113"/>
      <x:c r="F98" s="113"/>
      <x:c r="G98" s="113"/>
      <x:c r="H98" s="113"/>
      <x:c r="I98" s="113"/>
      <x:c r="J98" s="113"/>
      <x:c r="K98" s="113"/>
      <x:c r="L98" s="113"/>
      <x:c r="M98" s="113"/>
      <x:c r="N98" s="113"/>
      <x:c r="O98" s="113"/>
    </x:row>
    <x:row r="99">
      <x:c r="A99" s="113"/>
      <x:c r="B99" s="113"/>
      <x:c r="C99" s="113"/>
      <x:c r="D99" s="113"/>
      <x:c r="E99" s="113"/>
      <x:c r="F99" s="113"/>
      <x:c r="G99" s="113"/>
      <x:c r="H99" s="113"/>
      <x:c r="I99" s="113"/>
      <x:c r="J99" s="113"/>
      <x:c r="K99" s="113"/>
      <x:c r="L99" s="113"/>
      <x:c r="M99" s="113"/>
      <x:c r="N99" s="113"/>
      <x:c r="O99" s="113"/>
    </x:row>
    <x:row r="100">
      <x:c r="A100" s="113"/>
      <x:c r="B100" s="113"/>
      <x:c r="C100" s="113"/>
      <x:c r="D100" s="113"/>
      <x:c r="E100" s="113"/>
      <x:c r="F100" s="113"/>
      <x:c r="G100" s="113"/>
      <x:c r="H100" s="113"/>
      <x:c r="I100" s="113"/>
      <x:c r="J100" s="113"/>
      <x:c r="K100" s="113"/>
      <x:c r="L100" s="113"/>
      <x:c r="M100" s="113"/>
      <x:c r="N100" s="113"/>
      <x:c r="O100" s="113"/>
    </x:row>
    <x:row r="101">
      <x:c r="A101" s="113"/>
      <x:c r="B101" s="113"/>
      <x:c r="C101" s="113"/>
      <x:c r="D101" s="113"/>
      <x:c r="E101" s="113"/>
      <x:c r="F101" s="113"/>
      <x:c r="G101" s="113"/>
      <x:c r="H101" s="113"/>
      <x:c r="I101" s="113"/>
      <x:c r="J101" s="113"/>
      <x:c r="K101" s="113"/>
      <x:c r="L101" s="113"/>
      <x:c r="M101" s="113"/>
      <x:c r="N101" s="113"/>
      <x:c r="O101" s="113"/>
    </x:row>
    <x:row r="102">
      <x:c r="A102" s="113"/>
      <x:c r="B102" s="113"/>
      <x:c r="C102" s="113"/>
      <x:c r="D102" s="113"/>
      <x:c r="E102" s="113"/>
      <x:c r="F102" s="113"/>
      <x:c r="G102" s="113"/>
      <x:c r="H102" s="113"/>
      <x:c r="I102" s="113"/>
      <x:c r="J102" s="113"/>
      <x:c r="K102" s="113"/>
      <x:c r="L102" s="113"/>
      <x:c r="M102" s="113"/>
      <x:c r="N102" s="113"/>
      <x:c r="O102" s="113"/>
    </x:row>
    <x:row r="103">
      <x:c r="A103" s="113"/>
      <x:c r="B103" s="113"/>
      <x:c r="C103" s="113"/>
      <x:c r="D103" s="113"/>
      <x:c r="E103" s="113"/>
      <x:c r="F103" s="113"/>
      <x:c r="G103" s="113"/>
      <x:c r="H103" s="113"/>
      <x:c r="I103" s="113"/>
      <x:c r="J103" s="113"/>
      <x:c r="K103" s="113"/>
      <x:c r="L103" s="113"/>
      <x:c r="M103" s="113"/>
      <x:c r="N103" s="113"/>
      <x:c r="O103" s="113"/>
    </x:row>
    <x:row r="104">
      <x:c r="A104" s="113"/>
      <x:c r="B104" s="113"/>
      <x:c r="C104" s="113"/>
      <x:c r="D104" s="113"/>
      <x:c r="E104" s="113"/>
      <x:c r="F104" s="113"/>
      <x:c r="G104" s="113"/>
      <x:c r="H104" s="113"/>
      <x:c r="I104" s="113"/>
      <x:c r="J104" s="113"/>
      <x:c r="K104" s="113"/>
      <x:c r="L104" s="113"/>
      <x:c r="M104" s="113"/>
      <x:c r="N104" s="113"/>
      <x:c r="O104" s="113"/>
    </x:row>
    <x:row r="105">
      <x:c r="A105" s="113"/>
      <x:c r="B105" s="113"/>
      <x:c r="C105" s="113"/>
      <x:c r="D105" s="113"/>
      <x:c r="E105" s="113"/>
      <x:c r="F105" s="113"/>
      <x:c r="G105" s="113"/>
      <x:c r="H105" s="113"/>
      <x:c r="I105" s="113"/>
      <x:c r="J105" s="113"/>
      <x:c r="K105" s="113"/>
      <x:c r="L105" s="113"/>
      <x:c r="M105" s="113"/>
      <x:c r="N105" s="113"/>
      <x:c r="O105" s="113"/>
    </x:row>
    <x:row r="106">
      <x:c r="A106" s="113"/>
      <x:c r="B106" s="113"/>
      <x:c r="C106" s="113"/>
      <x:c r="D106" s="113"/>
      <x:c r="E106" s="113"/>
      <x:c r="F106" s="113"/>
      <x:c r="G106" s="113"/>
      <x:c r="H106" s="113"/>
      <x:c r="I106" s="113"/>
      <x:c r="J106" s="113"/>
      <x:c r="K106" s="113"/>
      <x:c r="L106" s="113"/>
      <x:c r="M106" s="113"/>
      <x:c r="N106" s="113"/>
      <x:c r="O106" s="113"/>
    </x:row>
    <x:row r="107">
      <x:c r="A107" s="113"/>
      <x:c r="B107" s="113"/>
      <x:c r="C107" s="113"/>
      <x:c r="D107" s="113"/>
      <x:c r="E107" s="113"/>
      <x:c r="F107" s="113"/>
      <x:c r="G107" s="113"/>
      <x:c r="H107" s="113"/>
      <x:c r="I107" s="113"/>
      <x:c r="J107" s="113"/>
      <x:c r="K107" s="113"/>
      <x:c r="L107" s="113"/>
      <x:c r="M107" s="113"/>
      <x:c r="N107" s="113"/>
      <x:c r="O107" s="113"/>
    </x:row>
    <x:row r="108">
      <x:c r="A108" s="113"/>
      <x:c r="B108" s="113"/>
      <x:c r="C108" s="113"/>
      <x:c r="D108" s="113"/>
      <x:c r="E108" s="113"/>
      <x:c r="F108" s="113"/>
      <x:c r="G108" s="113"/>
      <x:c r="H108" s="113"/>
      <x:c r="I108" s="113"/>
      <x:c r="J108" s="113"/>
      <x:c r="K108" s="113"/>
      <x:c r="L108" s="113"/>
      <x:c r="M108" s="113"/>
      <x:c r="N108" s="113"/>
      <x:c r="O108" s="113"/>
    </x:row>
    <x:row r="109">
      <x:c r="A109" s="113"/>
      <x:c r="B109" s="113"/>
      <x:c r="C109" s="113"/>
      <x:c r="D109" s="113"/>
      <x:c r="E109" s="113"/>
      <x:c r="F109" s="113"/>
      <x:c r="G109" s="113"/>
      <x:c r="H109" s="113"/>
      <x:c r="I109" s="113"/>
      <x:c r="J109" s="113"/>
      <x:c r="K109" s="113"/>
      <x:c r="L109" s="113"/>
      <x:c r="M109" s="113"/>
      <x:c r="N109" s="113"/>
      <x:c r="O109" s="113"/>
    </x:row>
    <x:row r="110">
      <x:c r="A110" s="113"/>
      <x:c r="B110" s="113"/>
      <x:c r="C110" s="113"/>
      <x:c r="D110" s="113"/>
      <x:c r="E110" s="113"/>
      <x:c r="F110" s="113"/>
      <x:c r="G110" s="113"/>
      <x:c r="H110" s="113"/>
      <x:c r="I110" s="113"/>
      <x:c r="J110" s="113"/>
      <x:c r="K110" s="113"/>
      <x:c r="L110" s="113"/>
      <x:c r="M110" s="113"/>
      <x:c r="N110" s="113"/>
      <x:c r="O110" s="113"/>
    </x:row>
    <x:row r="111">
      <x:c r="A111" s="113"/>
      <x:c r="B111" s="113"/>
      <x:c r="C111" s="113"/>
      <x:c r="D111" s="113"/>
      <x:c r="E111" s="113"/>
      <x:c r="F111" s="113"/>
      <x:c r="G111" s="113"/>
      <x:c r="H111" s="113"/>
      <x:c r="I111" s="113"/>
      <x:c r="J111" s="113"/>
      <x:c r="K111" s="113"/>
      <x:c r="L111" s="113"/>
      <x:c r="M111" s="113"/>
      <x:c r="N111" s="113"/>
      <x:c r="O111" s="113"/>
    </x:row>
    <x:row r="112">
      <x:c r="A112" s="113"/>
      <x:c r="B112" s="113"/>
      <x:c r="C112" s="113"/>
      <x:c r="D112" s="113"/>
      <x:c r="E112" s="113"/>
      <x:c r="F112" s="113"/>
      <x:c r="G112" s="113"/>
      <x:c r="H112" s="113"/>
      <x:c r="I112" s="113"/>
      <x:c r="J112" s="113"/>
      <x:c r="K112" s="113"/>
      <x:c r="L112" s="113"/>
      <x:c r="M112" s="113"/>
      <x:c r="N112" s="113"/>
      <x:c r="O112" s="113"/>
    </x:row>
    <x:row r="113">
      <x:c r="A113" s="113"/>
      <x:c r="B113" s="113"/>
      <x:c r="C113" s="113"/>
      <x:c r="D113" s="113"/>
      <x:c r="E113" s="113"/>
      <x:c r="F113" s="113"/>
      <x:c r="G113" s="113"/>
      <x:c r="H113" s="113"/>
      <x:c r="I113" s="113"/>
      <x:c r="J113" s="113"/>
      <x:c r="K113" s="113"/>
      <x:c r="L113" s="113"/>
      <x:c r="M113" s="113"/>
      <x:c r="N113" s="113"/>
      <x:c r="O113" s="113"/>
    </x:row>
    <x:row r="114">
      <x:c r="A114" s="113"/>
      <x:c r="B114" s="113"/>
      <x:c r="C114" s="113"/>
      <x:c r="D114" s="113"/>
      <x:c r="E114" s="113"/>
      <x:c r="F114" s="113"/>
      <x:c r="G114" s="113"/>
      <x:c r="H114" s="113"/>
      <x:c r="I114" s="113"/>
      <x:c r="J114" s="113"/>
      <x:c r="K114" s="113"/>
      <x:c r="L114" s="113"/>
      <x:c r="M114" s="113"/>
      <x:c r="N114" s="113"/>
      <x:c r="O114" s="113"/>
    </x:row>
    <x:row r="115">
      <x:c r="A115" s="113"/>
      <x:c r="B115" s="113"/>
      <x:c r="C115" s="113"/>
      <x:c r="D115" s="113"/>
      <x:c r="E115" s="113"/>
      <x:c r="F115" s="113"/>
      <x:c r="G115" s="113"/>
      <x:c r="H115" s="113"/>
      <x:c r="I115" s="113"/>
      <x:c r="J115" s="113"/>
      <x:c r="K115" s="113"/>
      <x:c r="L115" s="113"/>
      <x:c r="M115" s="113"/>
      <x:c r="N115" s="113"/>
      <x:c r="O115" s="113"/>
    </x:row>
    <x:row r="116">
      <x:c r="A116" s="113"/>
      <x:c r="B116" s="113"/>
      <x:c r="C116" s="113"/>
      <x:c r="D116" s="113"/>
      <x:c r="E116" s="113"/>
      <x:c r="F116" s="113"/>
      <x:c r="G116" s="113"/>
      <x:c r="H116" s="113"/>
      <x:c r="I116" s="113"/>
      <x:c r="J116" s="113"/>
      <x:c r="K116" s="113"/>
      <x:c r="L116" s="113"/>
      <x:c r="M116" s="113"/>
      <x:c r="N116" s="113"/>
      <x:c r="O116" s="113"/>
    </x:row>
    <x:row r="117">
      <x:c r="A117" s="113"/>
      <x:c r="B117" s="113"/>
      <x:c r="C117" s="113"/>
      <x:c r="D117" s="113"/>
      <x:c r="E117" s="113"/>
      <x:c r="F117" s="113"/>
      <x:c r="G117" s="113"/>
      <x:c r="H117" s="113"/>
      <x:c r="I117" s="113"/>
      <x:c r="J117" s="113"/>
      <x:c r="K117" s="113"/>
      <x:c r="L117" s="113"/>
      <x:c r="M117" s="113"/>
      <x:c r="N117" s="113"/>
      <x:c r="O117" s="113"/>
    </x:row>
    <x:row r="118">
      <x:c r="A118" s="113"/>
      <x:c r="B118" s="113"/>
      <x:c r="C118" s="113"/>
      <x:c r="D118" s="113"/>
      <x:c r="E118" s="113"/>
      <x:c r="F118" s="113"/>
      <x:c r="G118" s="113"/>
      <x:c r="H118" s="113"/>
      <x:c r="I118" s="113"/>
      <x:c r="J118" s="113"/>
      <x:c r="K118" s="113"/>
      <x:c r="L118" s="113"/>
      <x:c r="M118" s="113"/>
      <x:c r="N118" s="113"/>
      <x:c r="O118" s="113"/>
    </x:row>
    <x:row r="119">
      <x:c r="A119" s="113"/>
      <x:c r="B119" s="113"/>
      <x:c r="C119" s="113"/>
      <x:c r="D119" s="113"/>
      <x:c r="E119" s="113"/>
      <x:c r="F119" s="113"/>
      <x:c r="G119" s="113"/>
      <x:c r="H119" s="113"/>
      <x:c r="I119" s="113"/>
      <x:c r="J119" s="113"/>
      <x:c r="K119" s="113"/>
      <x:c r="L119" s="113"/>
      <x:c r="M119" s="113"/>
      <x:c r="N119" s="113"/>
      <x:c r="O119" s="113"/>
    </x:row>
    <x:row r="120">
      <x:c r="A120" s="113"/>
      <x:c r="B120" s="113"/>
      <x:c r="C120" s="113"/>
      <x:c r="D120" s="113"/>
      <x:c r="E120" s="113"/>
      <x:c r="F120" s="113"/>
      <x:c r="G120" s="113"/>
      <x:c r="H120" s="113"/>
      <x:c r="I120" s="113"/>
      <x:c r="J120" s="113"/>
      <x:c r="K120" s="113"/>
      <x:c r="L120" s="113"/>
      <x:c r="M120" s="113"/>
      <x:c r="N120" s="113"/>
      <x:c r="O120" s="113"/>
    </x:row>
  </x:sheetData>
  <x:mergeCells>
    <x:mergeCell ref="A1:L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26" hidden="0" customWidth="1"/>
    <x:col min="4" max="4" width="14" hidden="0" customWidth="1"/>
    <x:col min="5" max="5" width="4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0" hidden="0" customWidth="1"/>
    <x:col min="11" max="11" width="14" hidden="0" customWidth="1"/>
    <x:col min="12" max="12" width="38" hidden="0" customWidth="1"/>
  </x:cols>
  <x:sheetData>
    <x:row r="1" ht="28" customHeight="1">
      <x:c r="A1" s="77" t="str">
        <x:v>首批核心数据质量规则与发布门禁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113"/>
      <x:c r="N1" s="113"/>
      <x:c r="O1" s="113"/>
    </x:row>
    <x:row r="2">
      <x:c r="A2" s="113"/>
      <x:c r="B2" s="113"/>
      <x:c r="C2" s="113"/>
      <x:c r="D2" s="113"/>
      <x:c r="E2" s="113"/>
      <x:c r="F2" s="113"/>
      <x:c r="G2" s="113"/>
      <x:c r="H2" s="113"/>
      <x:c r="I2" s="113"/>
      <x:c r="J2" s="113"/>
      <x:c r="K2" s="113"/>
      <x:c r="L2" s="113"/>
      <x:c r="M2" s="113"/>
      <x:c r="N2" s="113"/>
      <x:c r="O2" s="113"/>
    </x:row>
    <x:row r="3">
      <x:c r="A3" s="113"/>
      <x:c r="B3" s="113"/>
      <x:c r="C3" s="113"/>
      <x:c r="D3" s="113"/>
      <x:c r="E3" s="113"/>
      <x:c r="F3" s="113"/>
      <x:c r="G3" s="113"/>
      <x:c r="H3" s="113"/>
      <x:c r="I3" s="113"/>
      <x:c r="J3" s="113"/>
      <x:c r="K3" s="113"/>
      <x:c r="L3" s="113"/>
      <x:c r="M3" s="113"/>
      <x:c r="N3" s="113"/>
      <x:c r="O3" s="113"/>
    </x:row>
    <x:row r="4">
      <x:c r="A4" s="80" t="str">
        <x:v>规则编号</x:v>
      </x:c>
      <x:c r="B4" s="81" t="str">
        <x:v>域</x:v>
      </x:c>
      <x:c r="C4" s="81" t="str">
        <x:v>对象/字段</x:v>
      </x:c>
      <x:c r="D4" s="81" t="str">
        <x:v>维度</x:v>
      </x:c>
      <x:c r="E4" s="81" t="str">
        <x:v>规则描述</x:v>
      </x:c>
      <x:c r="F4" s="81" t="str">
        <x:v>阈值</x:v>
      </x:c>
      <x:c r="G4" s="81" t="str">
        <x:v>严重级别</x:v>
      </x:c>
      <x:c r="H4" s="81" t="str">
        <x:v>阻断发布</x:v>
      </x:c>
      <x:c r="I4" s="81" t="str">
        <x:v>执行频率</x:v>
      </x:c>
      <x:c r="J4" s="81" t="str">
        <x:v>责任部门</x:v>
      </x:c>
      <x:c r="K4" s="81" t="str">
        <x:v>处置时限</x:v>
      </x:c>
      <x:c r="L4" s="82" t="str">
        <x:v>证据/修复建议</x:v>
      </x:c>
      <x:c r="M4" s="113"/>
      <x:c r="N4" s="113"/>
      <x:c r="O4" s="113"/>
    </x:row>
    <x:row r="5">
      <x:c r="A5" s="115" t="str">
        <x:v>DQ-PAT-001</x:v>
      </x:c>
      <x:c r="B5" s="116" t="str">
        <x:v>患者</x:v>
      </x:c>
      <x:c r="C5" s="116" t="str">
        <x:v>姓名/性别/出生日期</x:v>
      </x:c>
      <x:c r="D5" s="116" t="str">
        <x:v>完整性</x:v>
      </x:c>
      <x:c r="E5" s="116" t="str">
        <x:v>三项至少两项非空且姓名非空</x:v>
      </x:c>
      <x:c r="F5" s="116" t="str">
        <x:v>99.9%</x:v>
      </x:c>
      <x:c r="G5" s="116" t="str">
        <x:v>高</x:v>
      </x:c>
      <x:c r="H5" s="116" t="str">
        <x:v>是</x:v>
      </x:c>
      <x:c r="I5" s="116" t="str">
        <x:v>实时+每日</x:v>
      </x:c>
      <x:c r="J5" s="116" t="str">
        <x:v>医务/门诊</x:v>
      </x:c>
      <x:c r="K5" s="116" t="str">
        <x:v>4小时</x:v>
      </x:c>
      <x:c r="L5" s="119" t="str">
        <x:v>退回源系统；急诊临时号进入待补全</x:v>
      </x:c>
      <x:c r="M5" s="113"/>
      <x:c r="N5" s="113"/>
      <x:c r="O5" s="113"/>
    </x:row>
    <x:row r="6">
      <x:c r="A6" s="115" t="str">
        <x:v>DQ-PAT-002</x:v>
      </x:c>
      <x:c r="B6" s="116" t="str">
        <x:v>患者</x:v>
      </x:c>
      <x:c r="C6" s="116" t="str">
        <x:v>身份证/证件</x:v>
      </x:c>
      <x:c r="D6" s="116" t="str">
        <x:v>有效性</x:v>
      </x:c>
      <x:c r="E6" s="116" t="str">
        <x:v>证件格式、校验位、签发机构规则合法</x:v>
      </x:c>
      <x:c r="F6" s="116" t="str">
        <x:v>99.5%</x:v>
      </x:c>
      <x:c r="G6" s="116" t="str">
        <x:v>高</x:v>
      </x:c>
      <x:c r="H6" s="116" t="str">
        <x:v>是</x:v>
      </x:c>
      <x:c r="I6" s="116" t="str">
        <x:v>实时</x:v>
      </x:c>
      <x:c r="J6" s="116" t="str">
        <x:v>医务/门诊</x:v>
      </x:c>
      <x:c r="K6" s="116" t="str">
        <x:v>4小时</x:v>
      </x:c>
      <x:c r="L6" s="119" t="str">
        <x:v>异常进入人工审核，不自动合并</x:v>
      </x:c>
      <x:c r="M6" s="113"/>
      <x:c r="N6" s="113"/>
      <x:c r="O6" s="113"/>
    </x:row>
    <x:row r="7">
      <x:c r="A7" s="115" t="str">
        <x:v>DQ-PAT-003</x:v>
      </x:c>
      <x:c r="B7" s="116" t="str">
        <x:v>患者</x:v>
      </x:c>
      <x:c r="C7" s="116" t="str">
        <x:v>证件hash</x:v>
      </x:c>
      <x:c r="D7" s="116" t="str">
        <x:v>唯一性</x:v>
      </x:c>
      <x:c r="E7" s="116" t="str">
        <x:v>同一有效证件不得对应多个ACTIVE金记录</x:v>
      </x:c>
      <x:c r="F7" s="116" t="str">
        <x:v>100%</x:v>
      </x:c>
      <x:c r="G7" s="116" t="str">
        <x:v>严重</x:v>
      </x:c>
      <x:c r="H7" s="116" t="str">
        <x:v>是</x:v>
      </x:c>
      <x:c r="I7" s="116" t="str">
        <x:v>实时+每日</x:v>
      </x:c>
      <x:c r="J7" s="116" t="str">
        <x:v>医务/病案</x:v>
      </x:c>
      <x:c r="K7" s="116" t="str">
        <x:v>2小时</x:v>
      </x:c>
      <x:c r="L7" s="119" t="str">
        <x:v>冻结自动合并并启动临床安全复核</x:v>
      </x:c>
      <x:c r="M7" s="113"/>
      <x:c r="N7" s="113"/>
      <x:c r="O7" s="113"/>
    </x:row>
    <x:row r="8">
      <x:c r="A8" s="115" t="str">
        <x:v>DQ-PAT-004</x:v>
      </x:c>
      <x:c r="B8" s="116" t="str">
        <x:v>患者</x:v>
      </x:c>
      <x:c r="C8" s="116" t="str">
        <x:v>来源交叉索引</x:v>
      </x:c>
      <x:c r="D8" s="116" t="str">
        <x:v>一致性</x:v>
      </x:c>
      <x:c r="E8" s="116" t="str">
        <x:v>同一source_system+source_key只能关联一个主记录</x:v>
      </x:c>
      <x:c r="F8" s="116" t="str">
        <x:v>100%</x:v>
      </x:c>
      <x:c r="G8" s="116" t="str">
        <x:v>严重</x:v>
      </x:c>
      <x:c r="H8" s="116" t="str">
        <x:v>是</x:v>
      </x:c>
      <x:c r="I8" s="116" t="str">
        <x:v>实时</x:v>
      </x:c>
      <x:c r="J8" s="116" t="str">
        <x:v>信息中心</x:v>
      </x:c>
      <x:c r="K8" s="116" t="str">
        <x:v>2小时</x:v>
      </x:c>
      <x:c r="L8" s="119" t="str">
        <x:v>阻断并回滚事件</x:v>
      </x:c>
      <x:c r="M8" s="113"/>
      <x:c r="N8" s="113"/>
      <x:c r="O8" s="113"/>
    </x:row>
    <x:row r="9">
      <x:c r="A9" s="115" t="str">
        <x:v>DQ-PAT-005</x:v>
      </x:c>
      <x:c r="B9" s="116" t="str">
        <x:v>患者</x:v>
      </x:c>
      <x:c r="C9" s="116" t="str">
        <x:v>匹配模型</x:v>
      </x:c>
      <x:c r="D9" s="116" t="str">
        <x:v>准确性</x:v>
      </x:c>
      <x:c r="E9" s="116" t="str">
        <x:v>自动合并抽样精确率达到批准阈值</x:v>
      </x:c>
      <x:c r="F9" s="116" t="str">
        <x:v>≥99.95%</x:v>
      </x:c>
      <x:c r="G9" s="116" t="str">
        <x:v>严重</x:v>
      </x:c>
      <x:c r="H9" s="116" t="str">
        <x:v>是</x:v>
      </x:c>
      <x:c r="I9" s="116" t="str">
        <x:v>周</x:v>
      </x:c>
      <x:c r="J9" s="116" t="str">
        <x:v>EMPI委员会</x:v>
      </x:c>
      <x:c r="K9" s="116" t="str">
        <x:v>当日</x:v>
      </x:c>
      <x:c r="L9" s="119" t="str">
        <x:v>阈值降低或关闭自动合并</x:v>
      </x:c>
      <x:c r="M9" s="113"/>
      <x:c r="N9" s="113"/>
      <x:c r="O9" s="113"/>
    </x:row>
    <x:row r="10">
      <x:c r="A10" s="115" t="str">
        <x:v>DQ-ORG-001</x:v>
      </x:c>
      <x:c r="B10" s="116" t="str">
        <x:v>组织</x:v>
      </x:c>
      <x:c r="C10" s="116" t="str">
        <x:v>org_code</x:v>
      </x:c>
      <x:c r="D10" s="116" t="str">
        <x:v>唯一性</x:v>
      </x:c>
      <x:c r="E10" s="116" t="str">
        <x:v>企业组织编码全生命周期唯一</x:v>
      </x:c>
      <x:c r="F10" s="116" t="str">
        <x:v>100%</x:v>
      </x:c>
      <x:c r="G10" s="116" t="str">
        <x:v>高</x:v>
      </x:c>
      <x:c r="H10" s="116" t="str">
        <x:v>是</x:v>
      </x:c>
      <x:c r="I10" s="116" t="str">
        <x:v>变更时</x:v>
      </x:c>
      <x:c r="J10" s="116" t="str">
        <x:v>组织人事</x:v>
      </x:c>
      <x:c r="K10" s="116" t="str">
        <x:v>1日</x:v>
      </x:c>
      <x:c r="L10" s="119" t="str">
        <x:v>禁止复用停用编码</x:v>
      </x:c>
      <x:c r="M10" s="113"/>
      <x:c r="N10" s="113"/>
      <x:c r="O10" s="113"/>
    </x:row>
    <x:row r="11">
      <x:c r="A11" s="115" t="str">
        <x:v>DQ-ORG-002</x:v>
      </x:c>
      <x:c r="B11" s="116" t="str">
        <x:v>组织</x:v>
      </x:c>
      <x:c r="C11" s="116" t="str">
        <x:v>parent_org_id</x:v>
      </x:c>
      <x:c r="D11" s="116" t="str">
        <x:v>一致性</x:v>
      </x:c>
      <x:c r="E11" s="116" t="str">
        <x:v>组织树无环、父级有效且层级合法</x:v>
      </x:c>
      <x:c r="F11" s="116" t="str">
        <x:v>100%</x:v>
      </x:c>
      <x:c r="G11" s="116" t="str">
        <x:v>高</x:v>
      </x:c>
      <x:c r="H11" s="116" t="str">
        <x:v>是</x:v>
      </x:c>
      <x:c r="I11" s="116" t="str">
        <x:v>变更时</x:v>
      </x:c>
      <x:c r="J11" s="116" t="str">
        <x:v>组织人事/医务</x:v>
      </x:c>
      <x:c r="K11" s="116" t="str">
        <x:v>1日</x:v>
      </x:c>
      <x:c r="L11" s="119" t="str">
        <x:v>影响分析后再发布</x:v>
      </x:c>
      <x:c r="M11" s="113"/>
      <x:c r="N11" s="113"/>
      <x:c r="O11" s="113"/>
    </x:row>
    <x:row r="12">
      <x:c r="A12" s="115" t="str">
        <x:v>DQ-ORG-003</x:v>
      </x:c>
      <x:c r="B12" s="116" t="str">
        <x:v>组织</x:v>
      </x:c>
      <x:c r="C12" s="116" t="str">
        <x:v>停用状态</x:v>
      </x:c>
      <x:c r="D12" s="116" t="str">
        <x:v>及时性</x:v>
      </x:c>
      <x:c r="E12" s="116" t="str">
        <x:v>停用后5分钟内通知核心系统</x:v>
      </x:c>
      <x:c r="F12" s="116" t="str">
        <x:v>≥99.9%</x:v>
      </x:c>
      <x:c r="G12" s="116" t="str">
        <x:v>高</x:v>
      </x:c>
      <x:c r="H12" s="116" t="str">
        <x:v>否</x:v>
      </x:c>
      <x:c r="I12" s="116" t="str">
        <x:v>实时</x:v>
      </x:c>
      <x:c r="J12" s="116" t="str">
        <x:v>信息中心</x:v>
      </x:c>
      <x:c r="K12" s="116" t="str">
        <x:v>30分钟</x:v>
      </x:c>
      <x:c r="L12" s="119" t="str">
        <x:v>消息重试+补偿</x:v>
      </x:c>
      <x:c r="M12" s="113"/>
      <x:c r="N12" s="113"/>
      <x:c r="O12" s="113"/>
    </x:row>
    <x:row r="13">
      <x:c r="A13" s="115" t="str">
        <x:v>DQ-STAFF-001</x:v>
      </x:c>
      <x:c r="B13" s="116" t="str">
        <x:v>人员</x:v>
      </x:c>
      <x:c r="C13" s="116" t="str">
        <x:v>员工号/执业证</x:v>
      </x:c>
      <x:c r="D13" s="116" t="str">
        <x:v>唯一性</x:v>
      </x:c>
      <x:c r="E13" s="116" t="str">
        <x:v>有效员工号唯一；执业证冲突进入核验</x:v>
      </x:c>
      <x:c r="F13" s="116" t="str">
        <x:v>100%</x:v>
      </x:c>
      <x:c r="G13" s="116" t="str">
        <x:v>高</x:v>
      </x:c>
      <x:c r="H13" s="116" t="str">
        <x:v>是</x:v>
      </x:c>
      <x:c r="I13" s="116" t="str">
        <x:v>每日</x:v>
      </x:c>
      <x:c r="J13" s="116" t="str">
        <x:v>组织人事</x:v>
      </x:c>
      <x:c r="K13" s="116" t="str">
        <x:v>1日</x:v>
      </x:c>
      <x:c r="L13" s="119" t="str">
        <x:v>冻结高风险角色</x:v>
      </x:c>
      <x:c r="M13" s="113"/>
      <x:c r="N13" s="113"/>
      <x:c r="O13" s="113"/>
    </x:row>
    <x:row r="14">
      <x:c r="A14" s="115" t="str">
        <x:v>DQ-STAFF-002</x:v>
      </x:c>
      <x:c r="B14" s="116" t="str">
        <x:v>人员</x:v>
      </x:c>
      <x:c r="C14" s="116" t="str">
        <x:v>任职有效期</x:v>
      </x:c>
      <x:c r="D14" s="116" t="str">
        <x:v>一致性</x:v>
      </x:c>
      <x:c r="E14" s="116" t="str">
        <x:v>角色有效期不得超出人员在职期</x:v>
      </x:c>
      <x:c r="F14" s="116" t="str">
        <x:v>100%</x:v>
      </x:c>
      <x:c r="G14" s="116" t="str">
        <x:v>高</x:v>
      </x:c>
      <x:c r="H14" s="116" t="str">
        <x:v>是</x:v>
      </x:c>
      <x:c r="I14" s="116" t="str">
        <x:v>变更时</x:v>
      </x:c>
      <x:c r="J14" s="116" t="str">
        <x:v>人资/医务</x:v>
      </x:c>
      <x:c r="K14" s="116" t="str">
        <x:v>1日</x:v>
      </x:c>
      <x:c r="L14" s="119" t="str">
        <x:v>阻断授权下发</x:v>
      </x:c>
      <x:c r="M14" s="113"/>
      <x:c r="N14" s="113"/>
      <x:c r="O14" s="113"/>
    </x:row>
    <x:row r="15">
      <x:c r="A15" s="115" t="str">
        <x:v>DQ-DRUG-001</x:v>
      </x:c>
      <x:c r="B15" s="116" t="str">
        <x:v>药品</x:v>
      </x:c>
      <x:c r="C15" s="116" t="str">
        <x:v>通用名/剂型/规格/包装</x:v>
      </x:c>
      <x:c r="D15" s="116" t="str">
        <x:v>完整性</x:v>
      </x:c>
      <x:c r="E15" s="116" t="str">
        <x:v>关键属性不得同时缺失</x:v>
      </x:c>
      <x:c r="F15" s="116" t="str">
        <x:v>99.9%</x:v>
      </x:c>
      <x:c r="G15" s="116" t="str">
        <x:v>高</x:v>
      </x:c>
      <x:c r="H15" s="116" t="str">
        <x:v>是</x:v>
      </x:c>
      <x:c r="I15" s="116" t="str">
        <x:v>变更时</x:v>
      </x:c>
      <x:c r="J15" s="116" t="str">
        <x:v>药学部</x:v>
      </x:c>
      <x:c r="K15" s="116" t="str">
        <x:v>1日</x:v>
      </x:c>
      <x:c r="L15" s="119" t="str">
        <x:v>不生成金记录</x:v>
      </x:c>
      <x:c r="M15" s="113"/>
      <x:c r="N15" s="113"/>
      <x:c r="O15" s="113"/>
    </x:row>
    <x:row r="16">
      <x:c r="A16" s="115" t="str">
        <x:v>DQ-DRUG-002</x:v>
      </x:c>
      <x:c r="B16" s="116" t="str">
        <x:v>药品</x:v>
      </x:c>
      <x:c r="C16" s="116" t="str">
        <x:v>状态/处方</x:v>
      </x:c>
      <x:c r="D16" s="116" t="str">
        <x:v>一致性</x:v>
      </x:c>
      <x:c r="E16" s="116" t="str">
        <x:v>停用药品不得用于新开立医嘱</x:v>
      </x:c>
      <x:c r="F16" s="116" t="str">
        <x:v>100%</x:v>
      </x:c>
      <x:c r="G16" s="116" t="str">
        <x:v>严重</x:v>
      </x:c>
      <x:c r="H16" s="116" t="str">
        <x:v>是</x:v>
      </x:c>
      <x:c r="I16" s="116" t="str">
        <x:v>实时</x:v>
      </x:c>
      <x:c r="J16" s="116" t="str">
        <x:v>药学/医务</x:v>
      </x:c>
      <x:c r="K16" s="116" t="str">
        <x:v>立即</x:v>
      </x:c>
      <x:c r="L16" s="119" t="str">
        <x:v>发布停用事件并检查缓存</x:v>
      </x:c>
      <x:c r="M16" s="113"/>
      <x:c r="N16" s="113"/>
      <x:c r="O16" s="113"/>
    </x:row>
    <x:row r="17">
      <x:c r="A17" s="115" t="str">
        <x:v>DQ-ITEM-001</x:v>
      </x:c>
      <x:c r="B17" s="116" t="str">
        <x:v>诊疗项目</x:v>
      </x:c>
      <x:c r="C17" s="116" t="str">
        <x:v>本地码/标准码</x:v>
      </x:c>
      <x:c r="D17" s="116" t="str">
        <x:v>映射完整性</x:v>
      </x:c>
      <x:c r="E17" s="116" t="str">
        <x:v>核心检查检验项目标准映射覆盖</x:v>
      </x:c>
      <x:c r="F17" s="116" t="str">
        <x:v>≥99%</x:v>
      </x:c>
      <x:c r="G17" s="116" t="str">
        <x:v>中</x:v>
      </x:c>
      <x:c r="H17" s="116" t="str">
        <x:v>否</x:v>
      </x:c>
      <x:c r="I17" s="116" t="str">
        <x:v>周</x:v>
      </x:c>
      <x:c r="J17" s="116" t="str">
        <x:v>医务/医技</x:v>
      </x:c>
      <x:c r="K17" s="116" t="str">
        <x:v>5日</x:v>
      </x:c>
      <x:c r="L17" s="119" t="str">
        <x:v>未映射进入待治理清单</x:v>
      </x:c>
      <x:c r="M17" s="113"/>
      <x:c r="N17" s="113"/>
      <x:c r="O17" s="113"/>
    </x:row>
    <x:row r="18">
      <x:c r="A18" s="115" t="str">
        <x:v>DQ-ENC-001</x:v>
      </x:c>
      <x:c r="B18" s="116" t="str">
        <x:v>就诊</x:v>
      </x:c>
      <x:c r="C18" s="116" t="str">
        <x:v>入出院时间</x:v>
      </x:c>
      <x:c r="D18" s="116" t="str">
        <x:v>有效性</x:v>
      </x:c>
      <x:c r="E18" s="116" t="str">
        <x:v>出院时间不得早于入院时间</x:v>
      </x:c>
      <x:c r="F18" s="116" t="str">
        <x:v>100%</x:v>
      </x:c>
      <x:c r="G18" s="116" t="str">
        <x:v>高</x:v>
      </x:c>
      <x:c r="H18" s="116" t="str">
        <x:v>是</x:v>
      </x:c>
      <x:c r="I18" s="116" t="str">
        <x:v>入湖时</x:v>
      </x:c>
      <x:c r="J18" s="116" t="str">
        <x:v>医务/病案</x:v>
      </x:c>
      <x:c r="K18" s="116" t="str">
        <x:v>1日</x:v>
      </x:c>
      <x:c r="L18" s="119" t="str">
        <x:v>阻断CDR装载</x:v>
      </x:c>
      <x:c r="M18" s="113"/>
      <x:c r="N18" s="113"/>
      <x:c r="O18" s="113"/>
    </x:row>
    <x:row r="19">
      <x:c r="A19" s="115" t="str">
        <x:v>DQ-META-001</x:v>
      </x:c>
      <x:c r="B19" s="116" t="str">
        <x:v>元数据</x:v>
      </x:c>
      <x:c r="C19" s="116" t="str">
        <x:v>Owner/Steward</x:v>
      </x:c>
      <x:c r="D19" s="116" t="str">
        <x:v>完整性</x:v>
      </x:c>
      <x:c r="E19" s="116" t="str">
        <x:v>生产级资产必须有Owner和Steward</x:v>
      </x:c>
      <x:c r="F19" s="116" t="str">
        <x:v>100%</x:v>
      </x:c>
      <x:c r="G19" s="116" t="str">
        <x:v>中</x:v>
      </x:c>
      <x:c r="H19" s="116" t="str">
        <x:v>否</x:v>
      </x:c>
      <x:c r="I19" s="116" t="str">
        <x:v>每日</x:v>
      </x:c>
      <x:c r="J19" s="116" t="str">
        <x:v>治理办公室</x:v>
      </x:c>
      <x:c r="K19" s="116" t="str">
        <x:v>5日</x:v>
      </x:c>
      <x:c r="L19" s="119" t="str">
        <x:v>无Owner不进入正式目录</x:v>
      </x:c>
      <x:c r="M19" s="113"/>
      <x:c r="N19" s="113"/>
      <x:c r="O19" s="113"/>
    </x:row>
    <x:row r="20">
      <x:c r="A20" s="115" t="str">
        <x:v>DQ-LIN-001</x:v>
      </x:c>
      <x:c r="B20" s="116" t="str">
        <x:v>血缘</x:v>
      </x:c>
      <x:c r="C20" s="116" t="str">
        <x:v>核心指标</x:v>
      </x:c>
      <x:c r="D20" s="116" t="str">
        <x:v>可追溯性</x:v>
      </x:c>
      <x:c r="E20" s="116" t="str">
        <x:v>核心指标可追溯到源字段和转换规则</x:v>
      </x:c>
      <x:c r="F20" s="116" t="str">
        <x:v>100%</x:v>
      </x:c>
      <x:c r="G20" s="116" t="str">
        <x:v>高</x:v>
      </x:c>
      <x:c r="H20" s="116" t="str">
        <x:v>是</x:v>
      </x:c>
      <x:c r="I20" s="116" t="str">
        <x:v>发布时</x:v>
      </x:c>
      <x:c r="J20" s="116" t="str">
        <x:v>数据平台/业务Owner</x:v>
      </x:c>
      <x:c r="K20" s="116" t="str">
        <x:v>2日</x:v>
      </x:c>
      <x:c r="L20" s="119" t="str">
        <x:v>禁止发布新口径</x:v>
      </x:c>
      <x:c r="M20" s="113"/>
      <x:c r="N20" s="113"/>
      <x:c r="O20" s="113"/>
    </x:row>
    <x:row r="21">
      <x:c r="A21" s="115" t="str">
        <x:v>DQ-AUD-001</x:v>
      </x:c>
      <x:c r="B21" s="116" t="str">
        <x:v>审计</x:v>
      </x:c>
      <x:c r="C21" s="116" t="str">
        <x:v>敏感访问</x:v>
      </x:c>
      <x:c r="D21" s="116" t="str">
        <x:v>合规性</x:v>
      </x:c>
      <x:c r="E21" s="116" t="str">
        <x:v>敏感查询/导出/合并/回滚100%留痕</x:v>
      </x:c>
      <x:c r="F21" s="116" t="str">
        <x:v>100%</x:v>
      </x:c>
      <x:c r="G21" s="116" t="str">
        <x:v>严重</x:v>
      </x:c>
      <x:c r="H21" s="116" t="str">
        <x:v>是</x:v>
      </x:c>
      <x:c r="I21" s="116" t="str">
        <x:v>实时</x:v>
      </x:c>
      <x:c r="J21" s="116" t="str">
        <x:v>安全审计</x:v>
      </x:c>
      <x:c r="K21" s="116" t="str">
        <x:v>立即</x:v>
      </x:c>
      <x:c r="L21" s="119" t="str">
        <x:v>阻断服务并应急响应</x:v>
      </x:c>
      <x:c r="M21" s="113"/>
      <x:c r="N21" s="113"/>
      <x:c r="O21" s="113"/>
    </x:row>
    <x:row r="22">
      <x:c r="A22" s="115" t="str">
        <x:v>DQ-API-001</x:v>
      </x:c>
      <x:c r="B22" s="116" t="str">
        <x:v>接口</x:v>
      </x:c>
      <x:c r="C22" s="116" t="str">
        <x:v>核心订阅</x:v>
      </x:c>
      <x:c r="D22" s="116" t="str">
        <x:v>及时性</x:v>
      </x:c>
      <x:c r="E22" s="116" t="str">
        <x:v>关键变更5分钟内消费确认</x:v>
      </x:c>
      <x:c r="F22" s="116" t="str">
        <x:v>≥99.9%</x:v>
      </x:c>
      <x:c r="G22" s="116" t="str">
        <x:v>高</x:v>
      </x:c>
      <x:c r="H22" s="116" t="str">
        <x:v>否</x:v>
      </x:c>
      <x:c r="I22" s="116" t="str">
        <x:v>实时</x:v>
      </x:c>
      <x:c r="J22" s="116" t="str">
        <x:v>集成组</x:v>
      </x:c>
      <x:c r="K22" s="116" t="str">
        <x:v>30分钟</x:v>
      </x:c>
      <x:c r="L22" s="119" t="str">
        <x:v>告警、重试、DLQ补偿</x:v>
      </x:c>
      <x:c r="M22" s="113"/>
      <x:c r="N22" s="113"/>
      <x:c r="O22" s="113"/>
    </x:row>
    <x:row r="23">
      <x:c r="A23" s="121" t="str">
        <x:v>DQ-BKP-001</x:v>
      </x:c>
      <x:c r="B23" s="123" t="str">
        <x:v>备份</x:v>
      </x:c>
      <x:c r="C23" s="123" t="str">
        <x:v>恢复演练</x:v>
      </x:c>
      <x:c r="D23" s="123" t="str">
        <x:v>可恢复性</x:v>
      </x:c>
      <x:c r="E23" s="123" t="str">
        <x:v>季度恢复演练成功且校验零错误</x:v>
      </x:c>
      <x:c r="F23" s="123" t="str">
        <x:v>100%</x:v>
      </x:c>
      <x:c r="G23" s="123" t="str">
        <x:v>严重</x:v>
      </x:c>
      <x:c r="H23" s="123" t="str">
        <x:v>是</x:v>
      </x:c>
      <x:c r="I23" s="123" t="str">
        <x:v>季度</x:v>
      </x:c>
      <x:c r="J23" s="123" t="str">
        <x:v>SRE/DBA/安全</x:v>
      </x:c>
      <x:c r="K23" s="123" t="str">
        <x:v>整改前</x:v>
      </x:c>
      <x:c r="L23" s="124" t="str">
        <x:v>未通过不得完成验收</x:v>
      </x:c>
      <x:c r="M23" s="113"/>
      <x:c r="N23" s="113"/>
      <x:c r="O23" s="113"/>
    </x:row>
    <x:row r="24">
      <x:c r="A24" s="113"/>
      <x:c r="B24" s="113"/>
      <x:c r="C24" s="113"/>
      <x:c r="D24" s="113"/>
      <x:c r="E24" s="113"/>
      <x:c r="F24" s="113"/>
      <x:c r="G24" s="113"/>
      <x:c r="H24" s="113"/>
      <x:c r="I24" s="113"/>
      <x:c r="J24" s="113"/>
      <x:c r="K24" s="113"/>
      <x:c r="L24" s="113"/>
      <x:c r="M24" s="113"/>
      <x:c r="N24" s="113"/>
      <x:c r="O24" s="113"/>
    </x:row>
    <x:row r="25">
      <x:c r="A25" s="113"/>
      <x:c r="B25" s="113"/>
      <x:c r="C25" s="113"/>
      <x:c r="D25" s="113"/>
      <x:c r="E25" s="113"/>
      <x:c r="F25" s="113"/>
      <x:c r="G25" s="113"/>
      <x:c r="H25" s="113"/>
      <x:c r="I25" s="113"/>
      <x:c r="J25" s="113"/>
      <x:c r="K25" s="113"/>
      <x:c r="L25" s="113"/>
      <x:c r="M25" s="113"/>
      <x:c r="N25" s="113"/>
      <x:c r="O25" s="113"/>
    </x:row>
    <x:row r="26">
      <x:c r="A26" s="113"/>
      <x:c r="B26" s="113"/>
      <x:c r="C26" s="113"/>
      <x:c r="D26" s="113"/>
      <x:c r="E26" s="113"/>
      <x:c r="F26" s="113"/>
      <x:c r="G26" s="113"/>
      <x:c r="H26" s="113"/>
      <x:c r="I26" s="113"/>
      <x:c r="J26" s="113"/>
      <x:c r="K26" s="113"/>
      <x:c r="L26" s="113"/>
      <x:c r="M26" s="113"/>
      <x:c r="N26" s="113"/>
      <x:c r="O26" s="113"/>
    </x:row>
    <x:row r="27">
      <x:c r="A27" s="113"/>
      <x:c r="B27" s="113"/>
      <x:c r="C27" s="113"/>
      <x:c r="D27" s="113"/>
      <x:c r="E27" s="113"/>
      <x:c r="F27" s="113"/>
      <x:c r="G27" s="113"/>
      <x:c r="H27" s="113"/>
      <x:c r="I27" s="113"/>
      <x:c r="J27" s="113"/>
      <x:c r="K27" s="113"/>
      <x:c r="L27" s="113"/>
      <x:c r="M27" s="113"/>
      <x:c r="N27" s="113"/>
      <x:c r="O27" s="113"/>
    </x:row>
    <x:row r="28">
      <x:c r="A28" s="113"/>
      <x:c r="B28" s="113"/>
      <x:c r="C28" s="113"/>
      <x:c r="D28" s="113"/>
      <x:c r="E28" s="113"/>
      <x:c r="F28" s="113"/>
      <x:c r="G28" s="113"/>
      <x:c r="H28" s="113"/>
      <x:c r="I28" s="113"/>
      <x:c r="J28" s="113"/>
      <x:c r="K28" s="113"/>
      <x:c r="L28" s="113"/>
      <x:c r="M28" s="113"/>
      <x:c r="N28" s="113"/>
      <x:c r="O28" s="113"/>
    </x:row>
    <x:row r="29">
      <x:c r="A29" s="113"/>
      <x:c r="B29" s="113"/>
      <x:c r="C29" s="113"/>
      <x:c r="D29" s="113"/>
      <x:c r="E29" s="113"/>
      <x:c r="F29" s="113"/>
      <x:c r="G29" s="113"/>
      <x:c r="H29" s="113"/>
      <x:c r="I29" s="113"/>
      <x:c r="J29" s="113"/>
      <x:c r="K29" s="113"/>
      <x:c r="L29" s="113"/>
      <x:c r="M29" s="113"/>
      <x:c r="N29" s="113"/>
      <x:c r="O29" s="113"/>
    </x:row>
    <x:row r="30">
      <x:c r="A30" s="113"/>
      <x:c r="B30" s="113"/>
      <x:c r="C30" s="113"/>
      <x:c r="D30" s="113"/>
      <x:c r="E30" s="113"/>
      <x:c r="F30" s="113"/>
      <x:c r="G30" s="113"/>
      <x:c r="H30" s="113"/>
      <x:c r="I30" s="113"/>
      <x:c r="J30" s="113"/>
      <x:c r="K30" s="113"/>
      <x:c r="L30" s="113"/>
      <x:c r="M30" s="113"/>
      <x:c r="N30" s="113"/>
      <x:c r="O30" s="113"/>
    </x:row>
    <x:row r="31">
      <x:c r="A31" s="113"/>
      <x:c r="B31" s="113"/>
      <x:c r="C31" s="113"/>
      <x:c r="D31" s="113"/>
      <x:c r="E31" s="113"/>
      <x:c r="F31" s="113"/>
      <x:c r="G31" s="113"/>
      <x:c r="H31" s="113"/>
      <x:c r="I31" s="113"/>
      <x:c r="J31" s="113"/>
      <x:c r="K31" s="113"/>
      <x:c r="L31" s="113"/>
      <x:c r="M31" s="113"/>
      <x:c r="N31" s="113"/>
      <x:c r="O31" s="113"/>
    </x:row>
    <x:row r="32">
      <x:c r="A32" s="113"/>
      <x:c r="B32" s="113"/>
      <x:c r="C32" s="113"/>
      <x:c r="D32" s="113"/>
      <x:c r="E32" s="113"/>
      <x:c r="F32" s="113"/>
      <x:c r="G32" s="113"/>
      <x:c r="H32" s="113"/>
      <x:c r="I32" s="113"/>
      <x:c r="J32" s="113"/>
      <x:c r="K32" s="113"/>
      <x:c r="L32" s="113"/>
      <x:c r="M32" s="113"/>
      <x:c r="N32" s="113"/>
      <x:c r="O32" s="113"/>
    </x:row>
    <x:row r="33">
      <x:c r="A33" s="113"/>
      <x:c r="B33" s="113"/>
      <x:c r="C33" s="113"/>
      <x:c r="D33" s="113"/>
      <x:c r="E33" s="113"/>
      <x:c r="F33" s="113"/>
      <x:c r="G33" s="113"/>
      <x:c r="H33" s="113"/>
      <x:c r="I33" s="113"/>
      <x:c r="J33" s="113"/>
      <x:c r="K33" s="113"/>
      <x:c r="L33" s="113"/>
      <x:c r="M33" s="113"/>
      <x:c r="N33" s="113"/>
      <x:c r="O33" s="113"/>
    </x:row>
    <x:row r="34">
      <x:c r="A34" s="113"/>
      <x:c r="B34" s="113"/>
      <x:c r="C34" s="113"/>
      <x:c r="D34" s="113"/>
      <x:c r="E34" s="113"/>
      <x:c r="F34" s="113"/>
      <x:c r="G34" s="113"/>
      <x:c r="H34" s="113"/>
      <x:c r="I34" s="113"/>
      <x:c r="J34" s="113"/>
      <x:c r="K34" s="113"/>
      <x:c r="L34" s="113"/>
      <x:c r="M34" s="113"/>
      <x:c r="N34" s="113"/>
      <x:c r="O34" s="113"/>
    </x:row>
    <x:row r="35">
      <x:c r="A35" s="113"/>
      <x:c r="B35" s="113"/>
      <x:c r="C35" s="113"/>
      <x:c r="D35" s="113"/>
      <x:c r="E35" s="113"/>
      <x:c r="F35" s="113"/>
      <x:c r="G35" s="113"/>
      <x:c r="H35" s="113"/>
      <x:c r="I35" s="113"/>
      <x:c r="J35" s="113"/>
      <x:c r="K35" s="113"/>
      <x:c r="L35" s="113"/>
      <x:c r="M35" s="113"/>
      <x:c r="N35" s="113"/>
      <x:c r="O35" s="113"/>
    </x:row>
    <x:row r="36">
      <x:c r="A36" s="113"/>
      <x:c r="B36" s="113"/>
      <x:c r="C36" s="113"/>
      <x:c r="D36" s="113"/>
      <x:c r="E36" s="113"/>
      <x:c r="F36" s="113"/>
      <x:c r="G36" s="113"/>
      <x:c r="H36" s="113"/>
      <x:c r="I36" s="113"/>
      <x:c r="J36" s="113"/>
      <x:c r="K36" s="113"/>
      <x:c r="L36" s="113"/>
      <x:c r="M36" s="113"/>
      <x:c r="N36" s="113"/>
      <x:c r="O36" s="113"/>
    </x:row>
    <x:row r="37">
      <x:c r="A37" s="113"/>
      <x:c r="B37" s="113"/>
      <x:c r="C37" s="113"/>
      <x:c r="D37" s="113"/>
      <x:c r="E37" s="113"/>
      <x:c r="F37" s="113"/>
      <x:c r="G37" s="113"/>
      <x:c r="H37" s="113"/>
      <x:c r="I37" s="113"/>
      <x:c r="J37" s="113"/>
      <x:c r="K37" s="113"/>
      <x:c r="L37" s="113"/>
      <x:c r="M37" s="113"/>
      <x:c r="N37" s="113"/>
      <x:c r="O37" s="113"/>
    </x:row>
    <x:row r="38">
      <x:c r="A38" s="113"/>
      <x:c r="B38" s="113"/>
      <x:c r="C38" s="113"/>
      <x:c r="D38" s="113"/>
      <x:c r="E38" s="113"/>
      <x:c r="F38" s="113"/>
      <x:c r="G38" s="113"/>
      <x:c r="H38" s="113"/>
      <x:c r="I38" s="113"/>
      <x:c r="J38" s="113"/>
      <x:c r="K38" s="113"/>
      <x:c r="L38" s="113"/>
      <x:c r="M38" s="113"/>
      <x:c r="N38" s="113"/>
      <x:c r="O38" s="113"/>
    </x:row>
    <x:row r="39">
      <x:c r="A39" s="113"/>
      <x:c r="B39" s="113"/>
      <x:c r="C39" s="113"/>
      <x:c r="D39" s="113"/>
      <x:c r="E39" s="113"/>
      <x:c r="F39" s="113"/>
      <x:c r="G39" s="113"/>
      <x:c r="H39" s="113"/>
      <x:c r="I39" s="113"/>
      <x:c r="J39" s="113"/>
      <x:c r="K39" s="113"/>
      <x:c r="L39" s="113"/>
      <x:c r="M39" s="113"/>
      <x:c r="N39" s="113"/>
      <x:c r="O39" s="113"/>
    </x:row>
    <x:row r="40">
      <x:c r="A40" s="113"/>
      <x:c r="B40" s="113"/>
      <x:c r="C40" s="113"/>
      <x:c r="D40" s="113"/>
      <x:c r="E40" s="113"/>
      <x:c r="F40" s="113"/>
      <x:c r="G40" s="113"/>
      <x:c r="H40" s="113"/>
      <x:c r="I40" s="113"/>
      <x:c r="J40" s="113"/>
      <x:c r="K40" s="113"/>
      <x:c r="L40" s="113"/>
      <x:c r="M40" s="113"/>
      <x:c r="N40" s="113"/>
      <x:c r="O40" s="113"/>
    </x:row>
    <x:row r="41">
      <x:c r="A41" s="113"/>
      <x:c r="B41" s="113"/>
      <x:c r="C41" s="113"/>
      <x:c r="D41" s="113"/>
      <x:c r="E41" s="113"/>
      <x:c r="F41" s="113"/>
      <x:c r="G41" s="113"/>
      <x:c r="H41" s="113"/>
      <x:c r="I41" s="113"/>
      <x:c r="J41" s="113"/>
      <x:c r="K41" s="113"/>
      <x:c r="L41" s="113"/>
      <x:c r="M41" s="113"/>
      <x:c r="N41" s="113"/>
      <x:c r="O41" s="113"/>
    </x:row>
    <x:row r="42">
      <x:c r="A42" s="113"/>
      <x:c r="B42" s="113"/>
      <x:c r="C42" s="113"/>
      <x:c r="D42" s="113"/>
      <x:c r="E42" s="113"/>
      <x:c r="F42" s="113"/>
      <x:c r="G42" s="113"/>
      <x:c r="H42" s="113"/>
      <x:c r="I42" s="113"/>
      <x:c r="J42" s="113"/>
      <x:c r="K42" s="113"/>
      <x:c r="L42" s="113"/>
      <x:c r="M42" s="113"/>
      <x:c r="N42" s="113"/>
      <x:c r="O42" s="113"/>
    </x:row>
    <x:row r="43">
      <x:c r="A43" s="113"/>
      <x:c r="B43" s="113"/>
      <x:c r="C43" s="113"/>
      <x:c r="D43" s="113"/>
      <x:c r="E43" s="113"/>
      <x:c r="F43" s="113"/>
      <x:c r="G43" s="113"/>
      <x:c r="H43" s="113"/>
      <x:c r="I43" s="113"/>
      <x:c r="J43" s="113"/>
      <x:c r="K43" s="113"/>
      <x:c r="L43" s="113"/>
      <x:c r="M43" s="113"/>
      <x:c r="N43" s="113"/>
      <x:c r="O43" s="113"/>
    </x:row>
    <x:row r="44">
      <x:c r="A44" s="113"/>
      <x:c r="B44" s="113"/>
      <x:c r="C44" s="113"/>
      <x:c r="D44" s="113"/>
      <x:c r="E44" s="113"/>
      <x:c r="F44" s="113"/>
      <x:c r="G44" s="113"/>
      <x:c r="H44" s="113"/>
      <x:c r="I44" s="113"/>
      <x:c r="J44" s="113"/>
      <x:c r="K44" s="113"/>
      <x:c r="L44" s="113"/>
      <x:c r="M44" s="113"/>
      <x:c r="N44" s="113"/>
      <x:c r="O44" s="113"/>
    </x:row>
    <x:row r="45">
      <x:c r="A45" s="113"/>
      <x:c r="B45" s="113"/>
      <x:c r="C45" s="113"/>
      <x:c r="D45" s="113"/>
      <x:c r="E45" s="113"/>
      <x:c r="F45" s="113"/>
      <x:c r="G45" s="113"/>
      <x:c r="H45" s="113"/>
      <x:c r="I45" s="113"/>
      <x:c r="J45" s="113"/>
      <x:c r="K45" s="113"/>
      <x:c r="L45" s="113"/>
      <x:c r="M45" s="113"/>
      <x:c r="N45" s="113"/>
      <x:c r="O45" s="113"/>
    </x:row>
    <x:row r="46">
      <x:c r="A46" s="113"/>
      <x:c r="B46" s="113"/>
      <x:c r="C46" s="113"/>
      <x:c r="D46" s="113"/>
      <x:c r="E46" s="113"/>
      <x:c r="F46" s="113"/>
      <x:c r="G46" s="113"/>
      <x:c r="H46" s="113"/>
      <x:c r="I46" s="113"/>
      <x:c r="J46" s="113"/>
      <x:c r="K46" s="113"/>
      <x:c r="L46" s="113"/>
      <x:c r="M46" s="113"/>
      <x:c r="N46" s="113"/>
      <x:c r="O46" s="113"/>
    </x:row>
    <x:row r="47">
      <x:c r="A47" s="113"/>
      <x:c r="B47" s="113"/>
      <x:c r="C47" s="113"/>
      <x:c r="D47" s="113"/>
      <x:c r="E47" s="113"/>
      <x:c r="F47" s="113"/>
      <x:c r="G47" s="113"/>
      <x:c r="H47" s="113"/>
      <x:c r="I47" s="113"/>
      <x:c r="J47" s="113"/>
      <x:c r="K47" s="113"/>
      <x:c r="L47" s="113"/>
      <x:c r="M47" s="113"/>
      <x:c r="N47" s="113"/>
      <x:c r="O47" s="113"/>
    </x:row>
    <x:row r="48">
      <x:c r="A48" s="113"/>
      <x:c r="B48" s="113"/>
      <x:c r="C48" s="113"/>
      <x:c r="D48" s="113"/>
      <x:c r="E48" s="113"/>
      <x:c r="F48" s="113"/>
      <x:c r="G48" s="113"/>
      <x:c r="H48" s="113"/>
      <x:c r="I48" s="113"/>
      <x:c r="J48" s="113"/>
      <x:c r="K48" s="113"/>
      <x:c r="L48" s="113"/>
      <x:c r="M48" s="113"/>
      <x:c r="N48" s="113"/>
      <x:c r="O48" s="113"/>
    </x:row>
    <x:row r="49">
      <x:c r="A49" s="113"/>
      <x:c r="B49" s="113"/>
      <x:c r="C49" s="113"/>
      <x:c r="D49" s="113"/>
      <x:c r="E49" s="113"/>
      <x:c r="F49" s="113"/>
      <x:c r="G49" s="113"/>
      <x:c r="H49" s="113"/>
      <x:c r="I49" s="113"/>
      <x:c r="J49" s="113"/>
      <x:c r="K49" s="113"/>
      <x:c r="L49" s="113"/>
      <x:c r="M49" s="113"/>
      <x:c r="N49" s="113"/>
      <x:c r="O49" s="113"/>
    </x:row>
    <x:row r="50">
      <x:c r="A50" s="113"/>
      <x:c r="B50" s="113"/>
      <x:c r="C50" s="113"/>
      <x:c r="D50" s="113"/>
      <x:c r="E50" s="113"/>
      <x:c r="F50" s="113"/>
      <x:c r="G50" s="113"/>
      <x:c r="H50" s="113"/>
      <x:c r="I50" s="113"/>
      <x:c r="J50" s="113"/>
      <x:c r="K50" s="113"/>
      <x:c r="L50" s="113"/>
      <x:c r="M50" s="113"/>
      <x:c r="N50" s="113"/>
      <x:c r="O50" s="113"/>
    </x:row>
    <x:row r="51">
      <x:c r="A51" s="113"/>
      <x:c r="B51" s="113"/>
      <x:c r="C51" s="113"/>
      <x:c r="D51" s="113"/>
      <x:c r="E51" s="113"/>
      <x:c r="F51" s="113"/>
      <x:c r="G51" s="113"/>
      <x:c r="H51" s="113"/>
      <x:c r="I51" s="113"/>
      <x:c r="J51" s="113"/>
      <x:c r="K51" s="113"/>
      <x:c r="L51" s="113"/>
      <x:c r="M51" s="113"/>
      <x:c r="N51" s="113"/>
      <x:c r="O51" s="113"/>
    </x:row>
    <x:row r="52">
      <x:c r="A52" s="113"/>
      <x:c r="B52" s="113"/>
      <x:c r="C52" s="113"/>
      <x:c r="D52" s="113"/>
      <x:c r="E52" s="113"/>
      <x:c r="F52" s="113"/>
      <x:c r="G52" s="113"/>
      <x:c r="H52" s="113"/>
      <x:c r="I52" s="113"/>
      <x:c r="J52" s="113"/>
      <x:c r="K52" s="113"/>
      <x:c r="L52" s="113"/>
      <x:c r="M52" s="113"/>
      <x:c r="N52" s="113"/>
      <x:c r="O52" s="113"/>
    </x:row>
    <x:row r="53">
      <x:c r="A53" s="113"/>
      <x:c r="B53" s="113"/>
      <x:c r="C53" s="113"/>
      <x:c r="D53" s="113"/>
      <x:c r="E53" s="113"/>
      <x:c r="F53" s="113"/>
      <x:c r="G53" s="113"/>
      <x:c r="H53" s="113"/>
      <x:c r="I53" s="113"/>
      <x:c r="J53" s="113"/>
      <x:c r="K53" s="113"/>
      <x:c r="L53" s="113"/>
      <x:c r="M53" s="113"/>
      <x:c r="N53" s="113"/>
      <x:c r="O53" s="113"/>
    </x:row>
    <x:row r="54">
      <x:c r="A54" s="113"/>
      <x:c r="B54" s="113"/>
      <x:c r="C54" s="113"/>
      <x:c r="D54" s="113"/>
      <x:c r="E54" s="113"/>
      <x:c r="F54" s="113"/>
      <x:c r="G54" s="113"/>
      <x:c r="H54" s="113"/>
      <x:c r="I54" s="113"/>
      <x:c r="J54" s="113"/>
      <x:c r="K54" s="113"/>
      <x:c r="L54" s="113"/>
      <x:c r="M54" s="113"/>
      <x:c r="N54" s="113"/>
      <x:c r="O54" s="113"/>
    </x:row>
    <x:row r="55">
      <x:c r="A55" s="113"/>
      <x:c r="B55" s="113"/>
      <x:c r="C55" s="113"/>
      <x:c r="D55" s="113"/>
      <x:c r="E55" s="113"/>
      <x:c r="F55" s="113"/>
      <x:c r="G55" s="113"/>
      <x:c r="H55" s="113"/>
      <x:c r="I55" s="113"/>
      <x:c r="J55" s="113"/>
      <x:c r="K55" s="113"/>
      <x:c r="L55" s="113"/>
      <x:c r="M55" s="113"/>
      <x:c r="N55" s="113"/>
      <x:c r="O55" s="113"/>
    </x:row>
    <x:row r="56">
      <x:c r="A56" s="113"/>
      <x:c r="B56" s="113"/>
      <x:c r="C56" s="113"/>
      <x:c r="D56" s="113"/>
      <x:c r="E56" s="113"/>
      <x:c r="F56" s="113"/>
      <x:c r="G56" s="113"/>
      <x:c r="H56" s="113"/>
      <x:c r="I56" s="113"/>
      <x:c r="J56" s="113"/>
      <x:c r="K56" s="113"/>
      <x:c r="L56" s="113"/>
      <x:c r="M56" s="113"/>
      <x:c r="N56" s="113"/>
      <x:c r="O56" s="113"/>
    </x:row>
    <x:row r="57">
      <x:c r="A57" s="113"/>
      <x:c r="B57" s="113"/>
      <x:c r="C57" s="113"/>
      <x:c r="D57" s="113"/>
      <x:c r="E57" s="113"/>
      <x:c r="F57" s="113"/>
      <x:c r="G57" s="113"/>
      <x:c r="H57" s="113"/>
      <x:c r="I57" s="113"/>
      <x:c r="J57" s="113"/>
      <x:c r="K57" s="113"/>
      <x:c r="L57" s="113"/>
      <x:c r="M57" s="113"/>
      <x:c r="N57" s="113"/>
      <x:c r="O57" s="113"/>
    </x:row>
    <x:row r="58">
      <x:c r="A58" s="113"/>
      <x:c r="B58" s="113"/>
      <x:c r="C58" s="113"/>
      <x:c r="D58" s="113"/>
      <x:c r="E58" s="113"/>
      <x:c r="F58" s="113"/>
      <x:c r="G58" s="113"/>
      <x:c r="H58" s="113"/>
      <x:c r="I58" s="113"/>
      <x:c r="J58" s="113"/>
      <x:c r="K58" s="113"/>
      <x:c r="L58" s="113"/>
      <x:c r="M58" s="113"/>
      <x:c r="N58" s="113"/>
      <x:c r="O58" s="113"/>
    </x:row>
    <x:row r="59">
      <x:c r="A59" s="113"/>
      <x:c r="B59" s="113"/>
      <x:c r="C59" s="113"/>
      <x:c r="D59" s="113"/>
      <x:c r="E59" s="113"/>
      <x:c r="F59" s="113"/>
      <x:c r="G59" s="113"/>
      <x:c r="H59" s="113"/>
      <x:c r="I59" s="113"/>
      <x:c r="J59" s="113"/>
      <x:c r="K59" s="113"/>
      <x:c r="L59" s="113"/>
      <x:c r="M59" s="113"/>
      <x:c r="N59" s="113"/>
      <x:c r="O59" s="113"/>
    </x:row>
    <x:row r="60">
      <x:c r="A60" s="113"/>
      <x:c r="B60" s="113"/>
      <x:c r="C60" s="113"/>
      <x:c r="D60" s="113"/>
      <x:c r="E60" s="113"/>
      <x:c r="F60" s="113"/>
      <x:c r="G60" s="113"/>
      <x:c r="H60" s="113"/>
      <x:c r="I60" s="113"/>
      <x:c r="J60" s="113"/>
      <x:c r="K60" s="113"/>
      <x:c r="L60" s="113"/>
      <x:c r="M60" s="113"/>
      <x:c r="N60" s="113"/>
      <x:c r="O60" s="113"/>
    </x:row>
    <x:row r="61">
      <x:c r="A61" s="113"/>
      <x:c r="B61" s="113"/>
      <x:c r="C61" s="113"/>
      <x:c r="D61" s="113"/>
      <x:c r="E61" s="113"/>
      <x:c r="F61" s="113"/>
      <x:c r="G61" s="113"/>
      <x:c r="H61" s="113"/>
      <x:c r="I61" s="113"/>
      <x:c r="J61" s="113"/>
      <x:c r="K61" s="113"/>
      <x:c r="L61" s="113"/>
      <x:c r="M61" s="113"/>
      <x:c r="N61" s="113"/>
      <x:c r="O61" s="113"/>
    </x:row>
    <x:row r="62">
      <x:c r="A62" s="113"/>
      <x:c r="B62" s="113"/>
      <x:c r="C62" s="113"/>
      <x:c r="D62" s="113"/>
      <x:c r="E62" s="113"/>
      <x:c r="F62" s="113"/>
      <x:c r="G62" s="113"/>
      <x:c r="H62" s="113"/>
      <x:c r="I62" s="113"/>
      <x:c r="J62" s="113"/>
      <x:c r="K62" s="113"/>
      <x:c r="L62" s="113"/>
      <x:c r="M62" s="113"/>
      <x:c r="N62" s="113"/>
      <x:c r="O62" s="113"/>
    </x:row>
    <x:row r="63">
      <x:c r="A63" s="113"/>
      <x:c r="B63" s="113"/>
      <x:c r="C63" s="113"/>
      <x:c r="D63" s="113"/>
      <x:c r="E63" s="113"/>
      <x:c r="F63" s="113"/>
      <x:c r="G63" s="113"/>
      <x:c r="H63" s="113"/>
      <x:c r="I63" s="113"/>
      <x:c r="J63" s="113"/>
      <x:c r="K63" s="113"/>
      <x:c r="L63" s="113"/>
      <x:c r="M63" s="113"/>
      <x:c r="N63" s="113"/>
      <x:c r="O63" s="113"/>
    </x:row>
    <x:row r="64">
      <x:c r="A64" s="113"/>
      <x:c r="B64" s="113"/>
      <x:c r="C64" s="113"/>
      <x:c r="D64" s="113"/>
      <x:c r="E64" s="113"/>
      <x:c r="F64" s="113"/>
      <x:c r="G64" s="113"/>
      <x:c r="H64" s="113"/>
      <x:c r="I64" s="113"/>
      <x:c r="J64" s="113"/>
      <x:c r="K64" s="113"/>
      <x:c r="L64" s="113"/>
      <x:c r="M64" s="113"/>
      <x:c r="N64" s="113"/>
      <x:c r="O64" s="113"/>
    </x:row>
    <x:row r="65">
      <x:c r="A65" s="113"/>
      <x:c r="B65" s="113"/>
      <x:c r="C65" s="113"/>
      <x:c r="D65" s="113"/>
      <x:c r="E65" s="113"/>
      <x:c r="F65" s="113"/>
      <x:c r="G65" s="113"/>
      <x:c r="H65" s="113"/>
      <x:c r="I65" s="113"/>
      <x:c r="J65" s="113"/>
      <x:c r="K65" s="113"/>
      <x:c r="L65" s="113"/>
      <x:c r="M65" s="113"/>
      <x:c r="N65" s="113"/>
      <x:c r="O65" s="113"/>
    </x:row>
    <x:row r="66">
      <x:c r="A66" s="113"/>
      <x:c r="B66" s="113"/>
      <x:c r="C66" s="113"/>
      <x:c r="D66" s="113"/>
      <x:c r="E66" s="113"/>
      <x:c r="F66" s="113"/>
      <x:c r="G66" s="113"/>
      <x:c r="H66" s="113"/>
      <x:c r="I66" s="113"/>
      <x:c r="J66" s="113"/>
      <x:c r="K66" s="113"/>
      <x:c r="L66" s="113"/>
      <x:c r="M66" s="113"/>
      <x:c r="N66" s="113"/>
      <x:c r="O66" s="113"/>
    </x:row>
    <x:row r="67">
      <x:c r="A67" s="113"/>
      <x:c r="B67" s="113"/>
      <x:c r="C67" s="113"/>
      <x:c r="D67" s="113"/>
      <x:c r="E67" s="113"/>
      <x:c r="F67" s="113"/>
      <x:c r="G67" s="113"/>
      <x:c r="H67" s="113"/>
      <x:c r="I67" s="113"/>
      <x:c r="J67" s="113"/>
      <x:c r="K67" s="113"/>
      <x:c r="L67" s="113"/>
      <x:c r="M67" s="113"/>
      <x:c r="N67" s="113"/>
      <x:c r="O67" s="113"/>
    </x:row>
    <x:row r="68">
      <x:c r="A68" s="113"/>
      <x:c r="B68" s="113"/>
      <x:c r="C68" s="113"/>
      <x:c r="D68" s="113"/>
      <x:c r="E68" s="113"/>
      <x:c r="F68" s="113"/>
      <x:c r="G68" s="113"/>
      <x:c r="H68" s="113"/>
      <x:c r="I68" s="113"/>
      <x:c r="J68" s="113"/>
      <x:c r="K68" s="113"/>
      <x:c r="L68" s="113"/>
      <x:c r="M68" s="113"/>
      <x:c r="N68" s="113"/>
      <x:c r="O68" s="113"/>
    </x:row>
    <x:row r="69">
      <x:c r="A69" s="113"/>
      <x:c r="B69" s="113"/>
      <x:c r="C69" s="113"/>
      <x:c r="D69" s="113"/>
      <x:c r="E69" s="113"/>
      <x:c r="F69" s="113"/>
      <x:c r="G69" s="113"/>
      <x:c r="H69" s="113"/>
      <x:c r="I69" s="113"/>
      <x:c r="J69" s="113"/>
      <x:c r="K69" s="113"/>
      <x:c r="L69" s="113"/>
      <x:c r="M69" s="113"/>
      <x:c r="N69" s="113"/>
      <x:c r="O69" s="113"/>
    </x:row>
    <x:row r="70">
      <x:c r="A70" s="113"/>
      <x:c r="B70" s="113"/>
      <x:c r="C70" s="113"/>
      <x:c r="D70" s="113"/>
      <x:c r="E70" s="113"/>
      <x:c r="F70" s="113"/>
      <x:c r="G70" s="113"/>
      <x:c r="H70" s="113"/>
      <x:c r="I70" s="113"/>
      <x:c r="J70" s="113"/>
      <x:c r="K70" s="113"/>
      <x:c r="L70" s="113"/>
      <x:c r="M70" s="113"/>
      <x:c r="N70" s="113"/>
      <x:c r="O70" s="113"/>
    </x:row>
    <x:row r="71">
      <x:c r="A71" s="113"/>
      <x:c r="B71" s="113"/>
      <x:c r="C71" s="113"/>
      <x:c r="D71" s="113"/>
      <x:c r="E71" s="113"/>
      <x:c r="F71" s="113"/>
      <x:c r="G71" s="113"/>
      <x:c r="H71" s="113"/>
      <x:c r="I71" s="113"/>
      <x:c r="J71" s="113"/>
      <x:c r="K71" s="113"/>
      <x:c r="L71" s="113"/>
      <x:c r="M71" s="113"/>
      <x:c r="N71" s="113"/>
      <x:c r="O71" s="113"/>
    </x:row>
    <x:row r="72">
      <x:c r="A72" s="113"/>
      <x:c r="B72" s="113"/>
      <x:c r="C72" s="113"/>
      <x:c r="D72" s="113"/>
      <x:c r="E72" s="113"/>
      <x:c r="F72" s="113"/>
      <x:c r="G72" s="113"/>
      <x:c r="H72" s="113"/>
      <x:c r="I72" s="113"/>
      <x:c r="J72" s="113"/>
      <x:c r="K72" s="113"/>
      <x:c r="L72" s="113"/>
      <x:c r="M72" s="113"/>
      <x:c r="N72" s="113"/>
      <x:c r="O72" s="113"/>
    </x:row>
    <x:row r="73">
      <x:c r="A73" s="113"/>
      <x:c r="B73" s="113"/>
      <x:c r="C73" s="113"/>
      <x:c r="D73" s="113"/>
      <x:c r="E73" s="113"/>
      <x:c r="F73" s="113"/>
      <x:c r="G73" s="113"/>
      <x:c r="H73" s="113"/>
      <x:c r="I73" s="113"/>
      <x:c r="J73" s="113"/>
      <x:c r="K73" s="113"/>
      <x:c r="L73" s="113"/>
      <x:c r="M73" s="113"/>
      <x:c r="N73" s="113"/>
      <x:c r="O73" s="113"/>
    </x:row>
    <x:row r="74">
      <x:c r="A74" s="113"/>
      <x:c r="B74" s="113"/>
      <x:c r="C74" s="113"/>
      <x:c r="D74" s="113"/>
      <x:c r="E74" s="113"/>
      <x:c r="F74" s="113"/>
      <x:c r="G74" s="113"/>
      <x:c r="H74" s="113"/>
      <x:c r="I74" s="113"/>
      <x:c r="J74" s="113"/>
      <x:c r="K74" s="113"/>
      <x:c r="L74" s="113"/>
      <x:c r="M74" s="113"/>
      <x:c r="N74" s="113"/>
      <x:c r="O74" s="113"/>
    </x:row>
    <x:row r="75">
      <x:c r="A75" s="113"/>
      <x:c r="B75" s="113"/>
      <x:c r="C75" s="113"/>
      <x:c r="D75" s="113"/>
      <x:c r="E75" s="113"/>
      <x:c r="F75" s="113"/>
      <x:c r="G75" s="113"/>
      <x:c r="H75" s="113"/>
      <x:c r="I75" s="113"/>
      <x:c r="J75" s="113"/>
      <x:c r="K75" s="113"/>
      <x:c r="L75" s="113"/>
      <x:c r="M75" s="113"/>
      <x:c r="N75" s="113"/>
      <x:c r="O75" s="113"/>
    </x:row>
    <x:row r="76">
      <x:c r="A76" s="113"/>
      <x:c r="B76" s="113"/>
      <x:c r="C76" s="113"/>
      <x:c r="D76" s="113"/>
      <x:c r="E76" s="113"/>
      <x:c r="F76" s="113"/>
      <x:c r="G76" s="113"/>
      <x:c r="H76" s="113"/>
      <x:c r="I76" s="113"/>
      <x:c r="J76" s="113"/>
      <x:c r="K76" s="113"/>
      <x:c r="L76" s="113"/>
      <x:c r="M76" s="113"/>
      <x:c r="N76" s="113"/>
      <x:c r="O76" s="113"/>
    </x:row>
    <x:row r="77">
      <x:c r="A77" s="113"/>
      <x:c r="B77" s="113"/>
      <x:c r="C77" s="113"/>
      <x:c r="D77" s="113"/>
      <x:c r="E77" s="113"/>
      <x:c r="F77" s="113"/>
      <x:c r="G77" s="113"/>
      <x:c r="H77" s="113"/>
      <x:c r="I77" s="113"/>
      <x:c r="J77" s="113"/>
      <x:c r="K77" s="113"/>
      <x:c r="L77" s="113"/>
      <x:c r="M77" s="113"/>
      <x:c r="N77" s="113"/>
      <x:c r="O77" s="113"/>
    </x:row>
    <x:row r="78">
      <x:c r="A78" s="113"/>
      <x:c r="B78" s="113"/>
      <x:c r="C78" s="113"/>
      <x:c r="D78" s="113"/>
      <x:c r="E78" s="113"/>
      <x:c r="F78" s="113"/>
      <x:c r="G78" s="113"/>
      <x:c r="H78" s="113"/>
      <x:c r="I78" s="113"/>
      <x:c r="J78" s="113"/>
      <x:c r="K78" s="113"/>
      <x:c r="L78" s="113"/>
      <x:c r="M78" s="113"/>
      <x:c r="N78" s="113"/>
      <x:c r="O78" s="113"/>
    </x:row>
    <x:row r="79">
      <x:c r="A79" s="113"/>
      <x:c r="B79" s="113"/>
      <x:c r="C79" s="113"/>
      <x:c r="D79" s="113"/>
      <x:c r="E79" s="113"/>
      <x:c r="F79" s="113"/>
      <x:c r="G79" s="113"/>
      <x:c r="H79" s="113"/>
      <x:c r="I79" s="113"/>
      <x:c r="J79" s="113"/>
      <x:c r="K79" s="113"/>
      <x:c r="L79" s="113"/>
      <x:c r="M79" s="113"/>
      <x:c r="N79" s="113"/>
      <x:c r="O79" s="113"/>
    </x:row>
    <x:row r="80">
      <x:c r="A80" s="113"/>
      <x:c r="B80" s="113"/>
      <x:c r="C80" s="113"/>
      <x:c r="D80" s="113"/>
      <x:c r="E80" s="113"/>
      <x:c r="F80" s="113"/>
      <x:c r="G80" s="113"/>
      <x:c r="H80" s="113"/>
      <x:c r="I80" s="113"/>
      <x:c r="J80" s="113"/>
      <x:c r="K80" s="113"/>
      <x:c r="L80" s="113"/>
      <x:c r="M80" s="113"/>
      <x:c r="N80" s="113"/>
      <x:c r="O80" s="113"/>
    </x:row>
    <x:row r="81">
      <x:c r="A81" s="113"/>
      <x:c r="B81" s="113"/>
      <x:c r="C81" s="113"/>
      <x:c r="D81" s="113"/>
      <x:c r="E81" s="113"/>
      <x:c r="F81" s="113"/>
      <x:c r="G81" s="113"/>
      <x:c r="H81" s="113"/>
      <x:c r="I81" s="113"/>
      <x:c r="J81" s="113"/>
      <x:c r="K81" s="113"/>
      <x:c r="L81" s="113"/>
      <x:c r="M81" s="113"/>
      <x:c r="N81" s="113"/>
      <x:c r="O81" s="113"/>
    </x:row>
    <x:row r="82">
      <x:c r="A82" s="113"/>
      <x:c r="B82" s="113"/>
      <x:c r="C82" s="113"/>
      <x:c r="D82" s="113"/>
      <x:c r="E82" s="113"/>
      <x:c r="F82" s="113"/>
      <x:c r="G82" s="113"/>
      <x:c r="H82" s="113"/>
      <x:c r="I82" s="113"/>
      <x:c r="J82" s="113"/>
      <x:c r="K82" s="113"/>
      <x:c r="L82" s="113"/>
      <x:c r="M82" s="113"/>
      <x:c r="N82" s="113"/>
      <x:c r="O82" s="113"/>
    </x:row>
    <x:row r="83">
      <x:c r="A83" s="113"/>
      <x:c r="B83" s="113"/>
      <x:c r="C83" s="113"/>
      <x:c r="D83" s="113"/>
      <x:c r="E83" s="113"/>
      <x:c r="F83" s="113"/>
      <x:c r="G83" s="113"/>
      <x:c r="H83" s="113"/>
      <x:c r="I83" s="113"/>
      <x:c r="J83" s="113"/>
      <x:c r="K83" s="113"/>
      <x:c r="L83" s="113"/>
      <x:c r="M83" s="113"/>
      <x:c r="N83" s="113"/>
      <x:c r="O83" s="113"/>
    </x:row>
    <x:row r="84">
      <x:c r="A84" s="113"/>
      <x:c r="B84" s="113"/>
      <x:c r="C84" s="113"/>
      <x:c r="D84" s="113"/>
      <x:c r="E84" s="113"/>
      <x:c r="F84" s="113"/>
      <x:c r="G84" s="113"/>
      <x:c r="H84" s="113"/>
      <x:c r="I84" s="113"/>
      <x:c r="J84" s="113"/>
      <x:c r="K84" s="113"/>
      <x:c r="L84" s="113"/>
      <x:c r="M84" s="113"/>
      <x:c r="N84" s="113"/>
      <x:c r="O84" s="113"/>
    </x:row>
    <x:row r="85">
      <x:c r="A85" s="113"/>
      <x:c r="B85" s="113"/>
      <x:c r="C85" s="113"/>
      <x:c r="D85" s="113"/>
      <x:c r="E85" s="113"/>
      <x:c r="F85" s="113"/>
      <x:c r="G85" s="113"/>
      <x:c r="H85" s="113"/>
      <x:c r="I85" s="113"/>
      <x:c r="J85" s="113"/>
      <x:c r="K85" s="113"/>
      <x:c r="L85" s="113"/>
      <x:c r="M85" s="113"/>
      <x:c r="N85" s="113"/>
      <x:c r="O85" s="113"/>
    </x:row>
    <x:row r="86">
      <x:c r="A86" s="113"/>
      <x:c r="B86" s="113"/>
      <x:c r="C86" s="113"/>
      <x:c r="D86" s="113"/>
      <x:c r="E86" s="113"/>
      <x:c r="F86" s="113"/>
      <x:c r="G86" s="113"/>
      <x:c r="H86" s="113"/>
      <x:c r="I86" s="113"/>
      <x:c r="J86" s="113"/>
      <x:c r="K86" s="113"/>
      <x:c r="L86" s="113"/>
      <x:c r="M86" s="113"/>
      <x:c r="N86" s="113"/>
      <x:c r="O86" s="113"/>
    </x:row>
    <x:row r="87">
      <x:c r="A87" s="113"/>
      <x:c r="B87" s="113"/>
      <x:c r="C87" s="113"/>
      <x:c r="D87" s="113"/>
      <x:c r="E87" s="113"/>
      <x:c r="F87" s="113"/>
      <x:c r="G87" s="113"/>
      <x:c r="H87" s="113"/>
      <x:c r="I87" s="113"/>
      <x:c r="J87" s="113"/>
      <x:c r="K87" s="113"/>
      <x:c r="L87" s="113"/>
      <x:c r="M87" s="113"/>
      <x:c r="N87" s="113"/>
      <x:c r="O87" s="113"/>
    </x:row>
    <x:row r="88">
      <x:c r="A88" s="113"/>
      <x:c r="B88" s="113"/>
      <x:c r="C88" s="113"/>
      <x:c r="D88" s="113"/>
      <x:c r="E88" s="113"/>
      <x:c r="F88" s="113"/>
      <x:c r="G88" s="113"/>
      <x:c r="H88" s="113"/>
      <x:c r="I88" s="113"/>
      <x:c r="J88" s="113"/>
      <x:c r="K88" s="113"/>
      <x:c r="L88" s="113"/>
      <x:c r="M88" s="113"/>
      <x:c r="N88" s="113"/>
      <x:c r="O88" s="113"/>
    </x:row>
    <x:row r="89">
      <x:c r="A89" s="113"/>
      <x:c r="B89" s="113"/>
      <x:c r="C89" s="113"/>
      <x:c r="D89" s="113"/>
      <x:c r="E89" s="113"/>
      <x:c r="F89" s="113"/>
      <x:c r="G89" s="113"/>
      <x:c r="H89" s="113"/>
      <x:c r="I89" s="113"/>
      <x:c r="J89" s="113"/>
      <x:c r="K89" s="113"/>
      <x:c r="L89" s="113"/>
      <x:c r="M89" s="113"/>
      <x:c r="N89" s="113"/>
      <x:c r="O89" s="113"/>
    </x:row>
    <x:row r="90">
      <x:c r="A90" s="113"/>
      <x:c r="B90" s="113"/>
      <x:c r="C90" s="113"/>
      <x:c r="D90" s="113"/>
      <x:c r="E90" s="113"/>
      <x:c r="F90" s="113"/>
      <x:c r="G90" s="113"/>
      <x:c r="H90" s="113"/>
      <x:c r="I90" s="113"/>
      <x:c r="J90" s="113"/>
      <x:c r="K90" s="113"/>
      <x:c r="L90" s="113"/>
      <x:c r="M90" s="113"/>
      <x:c r="N90" s="113"/>
      <x:c r="O90" s="113"/>
    </x:row>
    <x:row r="91">
      <x:c r="A91" s="113"/>
      <x:c r="B91" s="113"/>
      <x:c r="C91" s="113"/>
      <x:c r="D91" s="113"/>
      <x:c r="E91" s="113"/>
      <x:c r="F91" s="113"/>
      <x:c r="G91" s="113"/>
      <x:c r="H91" s="113"/>
      <x:c r="I91" s="113"/>
      <x:c r="J91" s="113"/>
      <x:c r="K91" s="113"/>
      <x:c r="L91" s="113"/>
      <x:c r="M91" s="113"/>
      <x:c r="N91" s="113"/>
      <x:c r="O91" s="113"/>
    </x:row>
    <x:row r="92">
      <x:c r="A92" s="113"/>
      <x:c r="B92" s="113"/>
      <x:c r="C92" s="113"/>
      <x:c r="D92" s="113"/>
      <x:c r="E92" s="113"/>
      <x:c r="F92" s="113"/>
      <x:c r="G92" s="113"/>
      <x:c r="H92" s="113"/>
      <x:c r="I92" s="113"/>
      <x:c r="J92" s="113"/>
      <x:c r="K92" s="113"/>
      <x:c r="L92" s="113"/>
      <x:c r="M92" s="113"/>
      <x:c r="N92" s="113"/>
      <x:c r="O92" s="113"/>
    </x:row>
    <x:row r="93">
      <x:c r="A93" s="113"/>
      <x:c r="B93" s="113"/>
      <x:c r="C93" s="113"/>
      <x:c r="D93" s="113"/>
      <x:c r="E93" s="113"/>
      <x:c r="F93" s="113"/>
      <x:c r="G93" s="113"/>
      <x:c r="H93" s="113"/>
      <x:c r="I93" s="113"/>
      <x:c r="J93" s="113"/>
      <x:c r="K93" s="113"/>
      <x:c r="L93" s="113"/>
      <x:c r="M93" s="113"/>
      <x:c r="N93" s="113"/>
      <x:c r="O93" s="113"/>
    </x:row>
    <x:row r="94">
      <x:c r="A94" s="113"/>
      <x:c r="B94" s="113"/>
      <x:c r="C94" s="113"/>
      <x:c r="D94" s="113"/>
      <x:c r="E94" s="113"/>
      <x:c r="F94" s="113"/>
      <x:c r="G94" s="113"/>
      <x:c r="H94" s="113"/>
      <x:c r="I94" s="113"/>
      <x:c r="J94" s="113"/>
      <x:c r="K94" s="113"/>
      <x:c r="L94" s="113"/>
      <x:c r="M94" s="113"/>
      <x:c r="N94" s="113"/>
      <x:c r="O94" s="113"/>
    </x:row>
    <x:row r="95">
      <x:c r="A95" s="113"/>
      <x:c r="B95" s="113"/>
      <x:c r="C95" s="113"/>
      <x:c r="D95" s="113"/>
      <x:c r="E95" s="113"/>
      <x:c r="F95" s="113"/>
      <x:c r="G95" s="113"/>
      <x:c r="H95" s="113"/>
      <x:c r="I95" s="113"/>
      <x:c r="J95" s="113"/>
      <x:c r="K95" s="113"/>
      <x:c r="L95" s="113"/>
      <x:c r="M95" s="113"/>
      <x:c r="N95" s="113"/>
      <x:c r="O95" s="113"/>
    </x:row>
    <x:row r="96">
      <x:c r="A96" s="113"/>
      <x:c r="B96" s="113"/>
      <x:c r="C96" s="113"/>
      <x:c r="D96" s="113"/>
      <x:c r="E96" s="113"/>
      <x:c r="F96" s="113"/>
      <x:c r="G96" s="113"/>
      <x:c r="H96" s="113"/>
      <x:c r="I96" s="113"/>
      <x:c r="J96" s="113"/>
      <x:c r="K96" s="113"/>
      <x:c r="L96" s="113"/>
      <x:c r="M96" s="113"/>
      <x:c r="N96" s="113"/>
      <x:c r="O96" s="113"/>
    </x:row>
    <x:row r="97">
      <x:c r="A97" s="113"/>
      <x:c r="B97" s="113"/>
      <x:c r="C97" s="113"/>
      <x:c r="D97" s="113"/>
      <x:c r="E97" s="113"/>
      <x:c r="F97" s="113"/>
      <x:c r="G97" s="113"/>
      <x:c r="H97" s="113"/>
      <x:c r="I97" s="113"/>
      <x:c r="J97" s="113"/>
      <x:c r="K97" s="113"/>
      <x:c r="L97" s="113"/>
      <x:c r="M97" s="113"/>
      <x:c r="N97" s="113"/>
      <x:c r="O97" s="113"/>
    </x:row>
    <x:row r="98">
      <x:c r="A98" s="113"/>
      <x:c r="B98" s="113"/>
      <x:c r="C98" s="113"/>
      <x:c r="D98" s="113"/>
      <x:c r="E98" s="113"/>
      <x:c r="F98" s="113"/>
      <x:c r="G98" s="113"/>
      <x:c r="H98" s="113"/>
      <x:c r="I98" s="113"/>
      <x:c r="J98" s="113"/>
      <x:c r="K98" s="113"/>
      <x:c r="L98" s="113"/>
      <x:c r="M98" s="113"/>
      <x:c r="N98" s="113"/>
      <x:c r="O98" s="113"/>
    </x:row>
    <x:row r="99">
      <x:c r="A99" s="113"/>
      <x:c r="B99" s="113"/>
      <x:c r="C99" s="113"/>
      <x:c r="D99" s="113"/>
      <x:c r="E99" s="113"/>
      <x:c r="F99" s="113"/>
      <x:c r="G99" s="113"/>
      <x:c r="H99" s="113"/>
      <x:c r="I99" s="113"/>
      <x:c r="J99" s="113"/>
      <x:c r="K99" s="113"/>
      <x:c r="L99" s="113"/>
      <x:c r="M99" s="113"/>
      <x:c r="N99" s="113"/>
      <x:c r="O99" s="113"/>
    </x:row>
    <x:row r="100">
      <x:c r="A100" s="113"/>
      <x:c r="B100" s="113"/>
      <x:c r="C100" s="113"/>
      <x:c r="D100" s="113"/>
      <x:c r="E100" s="113"/>
      <x:c r="F100" s="113"/>
      <x:c r="G100" s="113"/>
      <x:c r="H100" s="113"/>
      <x:c r="I100" s="113"/>
      <x:c r="J100" s="113"/>
      <x:c r="K100" s="113"/>
      <x:c r="L100" s="113"/>
      <x:c r="M100" s="113"/>
      <x:c r="N100" s="113"/>
      <x:c r="O100" s="113"/>
    </x:row>
    <x:row r="101">
      <x:c r="A101" s="113"/>
      <x:c r="B101" s="113"/>
      <x:c r="C101" s="113"/>
      <x:c r="D101" s="113"/>
      <x:c r="E101" s="113"/>
      <x:c r="F101" s="113"/>
      <x:c r="G101" s="113"/>
      <x:c r="H101" s="113"/>
      <x:c r="I101" s="113"/>
      <x:c r="J101" s="113"/>
      <x:c r="K101" s="113"/>
      <x:c r="L101" s="113"/>
      <x:c r="M101" s="113"/>
      <x:c r="N101" s="113"/>
      <x:c r="O101" s="113"/>
    </x:row>
    <x:row r="102">
      <x:c r="A102" s="113"/>
      <x:c r="B102" s="113"/>
      <x:c r="C102" s="113"/>
      <x:c r="D102" s="113"/>
      <x:c r="E102" s="113"/>
      <x:c r="F102" s="113"/>
      <x:c r="G102" s="113"/>
      <x:c r="H102" s="113"/>
      <x:c r="I102" s="113"/>
      <x:c r="J102" s="113"/>
      <x:c r="K102" s="113"/>
      <x:c r="L102" s="113"/>
      <x:c r="M102" s="113"/>
      <x:c r="N102" s="113"/>
      <x:c r="O102" s="113"/>
    </x:row>
    <x:row r="103">
      <x:c r="A103" s="113"/>
      <x:c r="B103" s="113"/>
      <x:c r="C103" s="113"/>
      <x:c r="D103" s="113"/>
      <x:c r="E103" s="113"/>
      <x:c r="F103" s="113"/>
      <x:c r="G103" s="113"/>
      <x:c r="H103" s="113"/>
      <x:c r="I103" s="113"/>
      <x:c r="J103" s="113"/>
      <x:c r="K103" s="113"/>
      <x:c r="L103" s="113"/>
      <x:c r="M103" s="113"/>
      <x:c r="N103" s="113"/>
      <x:c r="O103" s="113"/>
    </x:row>
    <x:row r="104">
      <x:c r="A104" s="113"/>
      <x:c r="B104" s="113"/>
      <x:c r="C104" s="113"/>
      <x:c r="D104" s="113"/>
      <x:c r="E104" s="113"/>
      <x:c r="F104" s="113"/>
      <x:c r="G104" s="113"/>
      <x:c r="H104" s="113"/>
      <x:c r="I104" s="113"/>
      <x:c r="J104" s="113"/>
      <x:c r="K104" s="113"/>
      <x:c r="L104" s="113"/>
      <x:c r="M104" s="113"/>
      <x:c r="N104" s="113"/>
      <x:c r="O104" s="113"/>
    </x:row>
    <x:row r="105">
      <x:c r="A105" s="113"/>
      <x:c r="B105" s="113"/>
      <x:c r="C105" s="113"/>
      <x:c r="D105" s="113"/>
      <x:c r="E105" s="113"/>
      <x:c r="F105" s="113"/>
      <x:c r="G105" s="113"/>
      <x:c r="H105" s="113"/>
      <x:c r="I105" s="113"/>
      <x:c r="J105" s="113"/>
      <x:c r="K105" s="113"/>
      <x:c r="L105" s="113"/>
      <x:c r="M105" s="113"/>
      <x:c r="N105" s="113"/>
      <x:c r="O105" s="113"/>
    </x:row>
    <x:row r="106">
      <x:c r="A106" s="113"/>
      <x:c r="B106" s="113"/>
      <x:c r="C106" s="113"/>
      <x:c r="D106" s="113"/>
      <x:c r="E106" s="113"/>
      <x:c r="F106" s="113"/>
      <x:c r="G106" s="113"/>
      <x:c r="H106" s="113"/>
      <x:c r="I106" s="113"/>
      <x:c r="J106" s="113"/>
      <x:c r="K106" s="113"/>
      <x:c r="L106" s="113"/>
      <x:c r="M106" s="113"/>
      <x:c r="N106" s="113"/>
      <x:c r="O106" s="113"/>
    </x:row>
    <x:row r="107">
      <x:c r="A107" s="113"/>
      <x:c r="B107" s="113"/>
      <x:c r="C107" s="113"/>
      <x:c r="D107" s="113"/>
      <x:c r="E107" s="113"/>
      <x:c r="F107" s="113"/>
      <x:c r="G107" s="113"/>
      <x:c r="H107" s="113"/>
      <x:c r="I107" s="113"/>
      <x:c r="J107" s="113"/>
      <x:c r="K107" s="113"/>
      <x:c r="L107" s="113"/>
      <x:c r="M107" s="113"/>
      <x:c r="N107" s="113"/>
      <x:c r="O107" s="113"/>
    </x:row>
    <x:row r="108">
      <x:c r="A108" s="113"/>
      <x:c r="B108" s="113"/>
      <x:c r="C108" s="113"/>
      <x:c r="D108" s="113"/>
      <x:c r="E108" s="113"/>
      <x:c r="F108" s="113"/>
      <x:c r="G108" s="113"/>
      <x:c r="H108" s="113"/>
      <x:c r="I108" s="113"/>
      <x:c r="J108" s="113"/>
      <x:c r="K108" s="113"/>
      <x:c r="L108" s="113"/>
      <x:c r="M108" s="113"/>
      <x:c r="N108" s="113"/>
      <x:c r="O108" s="113"/>
    </x:row>
    <x:row r="109">
      <x:c r="A109" s="113"/>
      <x:c r="B109" s="113"/>
      <x:c r="C109" s="113"/>
      <x:c r="D109" s="113"/>
      <x:c r="E109" s="113"/>
      <x:c r="F109" s="113"/>
      <x:c r="G109" s="113"/>
      <x:c r="H109" s="113"/>
      <x:c r="I109" s="113"/>
      <x:c r="J109" s="113"/>
      <x:c r="K109" s="113"/>
      <x:c r="L109" s="113"/>
      <x:c r="M109" s="113"/>
      <x:c r="N109" s="113"/>
      <x:c r="O109" s="113"/>
    </x:row>
    <x:row r="110">
      <x:c r="A110" s="113"/>
      <x:c r="B110" s="113"/>
      <x:c r="C110" s="113"/>
      <x:c r="D110" s="113"/>
      <x:c r="E110" s="113"/>
      <x:c r="F110" s="113"/>
      <x:c r="G110" s="113"/>
      <x:c r="H110" s="113"/>
      <x:c r="I110" s="113"/>
      <x:c r="J110" s="113"/>
      <x:c r="K110" s="113"/>
      <x:c r="L110" s="113"/>
      <x:c r="M110" s="113"/>
      <x:c r="N110" s="113"/>
      <x:c r="O110" s="113"/>
    </x:row>
    <x:row r="111">
      <x:c r="A111" s="113"/>
      <x:c r="B111" s="113"/>
      <x:c r="C111" s="113"/>
      <x:c r="D111" s="113"/>
      <x:c r="E111" s="113"/>
      <x:c r="F111" s="113"/>
      <x:c r="G111" s="113"/>
      <x:c r="H111" s="113"/>
      <x:c r="I111" s="113"/>
      <x:c r="J111" s="113"/>
      <x:c r="K111" s="113"/>
      <x:c r="L111" s="113"/>
      <x:c r="M111" s="113"/>
      <x:c r="N111" s="113"/>
      <x:c r="O111" s="113"/>
    </x:row>
    <x:row r="112">
      <x:c r="A112" s="113"/>
      <x:c r="B112" s="113"/>
      <x:c r="C112" s="113"/>
      <x:c r="D112" s="113"/>
      <x:c r="E112" s="113"/>
      <x:c r="F112" s="113"/>
      <x:c r="G112" s="113"/>
      <x:c r="H112" s="113"/>
      <x:c r="I112" s="113"/>
      <x:c r="J112" s="113"/>
      <x:c r="K112" s="113"/>
      <x:c r="L112" s="113"/>
      <x:c r="M112" s="113"/>
      <x:c r="N112" s="113"/>
      <x:c r="O112" s="113"/>
    </x:row>
    <x:row r="113">
      <x:c r="A113" s="113"/>
      <x:c r="B113" s="113"/>
      <x:c r="C113" s="113"/>
      <x:c r="D113" s="113"/>
      <x:c r="E113" s="113"/>
      <x:c r="F113" s="113"/>
      <x:c r="G113" s="113"/>
      <x:c r="H113" s="113"/>
      <x:c r="I113" s="113"/>
      <x:c r="J113" s="113"/>
      <x:c r="K113" s="113"/>
      <x:c r="L113" s="113"/>
      <x:c r="M113" s="113"/>
      <x:c r="N113" s="113"/>
      <x:c r="O113" s="113"/>
    </x:row>
    <x:row r="114">
      <x:c r="A114" s="113"/>
      <x:c r="B114" s="113"/>
      <x:c r="C114" s="113"/>
      <x:c r="D114" s="113"/>
      <x:c r="E114" s="113"/>
      <x:c r="F114" s="113"/>
      <x:c r="G114" s="113"/>
      <x:c r="H114" s="113"/>
      <x:c r="I114" s="113"/>
      <x:c r="J114" s="113"/>
      <x:c r="K114" s="113"/>
      <x:c r="L114" s="113"/>
      <x:c r="M114" s="113"/>
      <x:c r="N114" s="113"/>
      <x:c r="O114" s="113"/>
    </x:row>
    <x:row r="115">
      <x:c r="A115" s="113"/>
      <x:c r="B115" s="113"/>
      <x:c r="C115" s="113"/>
      <x:c r="D115" s="113"/>
      <x:c r="E115" s="113"/>
      <x:c r="F115" s="113"/>
      <x:c r="G115" s="113"/>
      <x:c r="H115" s="113"/>
      <x:c r="I115" s="113"/>
      <x:c r="J115" s="113"/>
      <x:c r="K115" s="113"/>
      <x:c r="L115" s="113"/>
      <x:c r="M115" s="113"/>
      <x:c r="N115" s="113"/>
      <x:c r="O115" s="113"/>
    </x:row>
    <x:row r="116">
      <x:c r="A116" s="113"/>
      <x:c r="B116" s="113"/>
      <x:c r="C116" s="113"/>
      <x:c r="D116" s="113"/>
      <x:c r="E116" s="113"/>
      <x:c r="F116" s="113"/>
      <x:c r="G116" s="113"/>
      <x:c r="H116" s="113"/>
      <x:c r="I116" s="113"/>
      <x:c r="J116" s="113"/>
      <x:c r="K116" s="113"/>
      <x:c r="L116" s="113"/>
      <x:c r="M116" s="113"/>
      <x:c r="N116" s="113"/>
      <x:c r="O116" s="113"/>
    </x:row>
    <x:row r="117">
      <x:c r="A117" s="113"/>
      <x:c r="B117" s="113"/>
      <x:c r="C117" s="113"/>
      <x:c r="D117" s="113"/>
      <x:c r="E117" s="113"/>
      <x:c r="F117" s="113"/>
      <x:c r="G117" s="113"/>
      <x:c r="H117" s="113"/>
      <x:c r="I117" s="113"/>
      <x:c r="J117" s="113"/>
      <x:c r="K117" s="113"/>
      <x:c r="L117" s="113"/>
      <x:c r="M117" s="113"/>
      <x:c r="N117" s="113"/>
      <x:c r="O117" s="113"/>
    </x:row>
    <x:row r="118">
      <x:c r="A118" s="113"/>
      <x:c r="B118" s="113"/>
      <x:c r="C118" s="113"/>
      <x:c r="D118" s="113"/>
      <x:c r="E118" s="113"/>
      <x:c r="F118" s="113"/>
      <x:c r="G118" s="113"/>
      <x:c r="H118" s="113"/>
      <x:c r="I118" s="113"/>
      <x:c r="J118" s="113"/>
      <x:c r="K118" s="113"/>
      <x:c r="L118" s="113"/>
      <x:c r="M118" s="113"/>
      <x:c r="N118" s="113"/>
      <x:c r="O118" s="113"/>
    </x:row>
    <x:row r="119">
      <x:c r="A119" s="113"/>
      <x:c r="B119" s="113"/>
      <x:c r="C119" s="113"/>
      <x:c r="D119" s="113"/>
      <x:c r="E119" s="113"/>
      <x:c r="F119" s="113"/>
      <x:c r="G119" s="113"/>
      <x:c r="H119" s="113"/>
      <x:c r="I119" s="113"/>
      <x:c r="J119" s="113"/>
      <x:c r="K119" s="113"/>
      <x:c r="L119" s="113"/>
      <x:c r="M119" s="113"/>
      <x:c r="N119" s="113"/>
      <x:c r="O119" s="113"/>
    </x:row>
    <x:row r="120">
      <x:c r="A120" s="113"/>
      <x:c r="B120" s="113"/>
      <x:c r="C120" s="113"/>
      <x:c r="D120" s="113"/>
      <x:c r="E120" s="113"/>
      <x:c r="F120" s="113"/>
      <x:c r="G120" s="113"/>
      <x:c r="H120" s="113"/>
      <x:c r="I120" s="113"/>
      <x:c r="J120" s="113"/>
      <x:c r="K120" s="113"/>
      <x:c r="L120" s="113"/>
      <x:c r="M120" s="113"/>
      <x:c r="N120" s="113"/>
      <x:c r="O120" s="113"/>
    </x:row>
  </x:sheetData>
  <x:mergeCells>
    <x:mergeCell ref="A1:L1"/>
  </x:mergeCells>
  <x:conditionalFormatting sqref="G5:G50">
    <x:cfRule type="expression" dxfId="1" priority="1">
      <x:formula>G5="严重"</x:formula>
    </x:cfRule>
  </x:conditionalFormatting>
  <x:conditionalFormatting sqref="H5:H50">
    <x:cfRule type="expression" dxfId="2" priority="2">
      <x:formula>H5="是"</x:formula>
    </x:cfRule>
  </x:conditionalFormatting>
  <x:dataValidations count="2">
    <x:dataValidation type="list" sqref="G5:G50">
      <x:formula1>"低,中,高,严重"</x:formula1>
    </x:dataValidation>
    <x:dataValidation type="list" sqref="H5:H50">
      <x:formula1>"是,否"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34" hidden="0" customWidth="1"/>
    <x:col min="11" max="11" width="16" hidden="0" customWidth="1"/>
    <x:col min="12" max="12" width="24" hidden="0" customWidth="1"/>
  </x:cols>
  <x:sheetData>
    <x:row r="1" ht="28" customHeight="1">
      <x:c r="A1" s="77" t="str">
        <x:v>医院数据治理组织与RACI矩阵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113"/>
      <x:c r="N1" s="113"/>
      <x:c r="O1" s="113"/>
    </x:row>
    <x:row r="2">
      <x:c r="A2" s="113"/>
      <x:c r="B2" s="113"/>
      <x:c r="C2" s="113"/>
      <x:c r="D2" s="113"/>
      <x:c r="E2" s="113"/>
      <x:c r="F2" s="113"/>
      <x:c r="G2" s="113"/>
      <x:c r="H2" s="113"/>
      <x:c r="I2" s="113"/>
      <x:c r="J2" s="113"/>
      <x:c r="K2" s="113"/>
      <x:c r="L2" s="113"/>
      <x:c r="M2" s="113"/>
      <x:c r="N2" s="113"/>
      <x:c r="O2" s="113"/>
    </x:row>
    <x:row r="3">
      <x:c r="A3" s="113"/>
      <x:c r="B3" s="113"/>
      <x:c r="C3" s="113"/>
      <x:c r="D3" s="113"/>
      <x:c r="E3" s="113"/>
      <x:c r="F3" s="113"/>
      <x:c r="G3" s="113"/>
      <x:c r="H3" s="113"/>
      <x:c r="I3" s="113"/>
      <x:c r="J3" s="113"/>
      <x:c r="K3" s="113"/>
      <x:c r="L3" s="113"/>
      <x:c r="M3" s="113"/>
      <x:c r="N3" s="113"/>
      <x:c r="O3" s="113"/>
    </x:row>
    <x:row r="4">
      <x:c r="A4" s="80" t="str">
        <x:v>任务</x:v>
      </x:c>
      <x:c r="B4" s="81" t="str">
        <x:v>治理委员会</x:v>
      </x:c>
      <x:c r="C4" s="81" t="str">
        <x:v>Sponsor</x:v>
      </x:c>
      <x:c r="D4" s="81" t="str">
        <x:v>域Owner</x:v>
      </x:c>
      <x:c r="E4" s="81" t="str">
        <x:v>域Steward</x:v>
      </x:c>
      <x:c r="F4" s="81" t="str">
        <x:v>信息中心/平台</x:v>
      </x:c>
      <x:c r="G4" s="81" t="str">
        <x:v>安全审计</x:v>
      </x:c>
      <x:c r="H4" s="81" t="str">
        <x:v>业务代表</x:v>
      </x:c>
      <x:c r="I4" s="81" t="str">
        <x:v>厂商</x:v>
      </x:c>
      <x:c r="J4" s="81" t="str">
        <x:v>交付/证据</x:v>
      </x:c>
      <x:c r="K4" s="81" t="str">
        <x:v>频率</x:v>
      </x:c>
      <x:c r="L4" s="82" t="str">
        <x:v>KPI</x:v>
      </x:c>
      <x:c r="M4" s="113"/>
      <x:c r="N4" s="113"/>
      <x:c r="O4" s="113"/>
    </x:row>
    <x:row r="5">
      <x:c r="A5" s="115" t="str">
        <x:v>数据域范围与优先级</x:v>
      </x:c>
      <x:c r="B5" s="116" t="str">
        <x:v>A</x:v>
      </x:c>
      <x:c r="C5" s="116" t="str">
        <x:v>R</x:v>
      </x:c>
      <x:c r="D5" s="116" t="str">
        <x:v>C</x:v>
      </x:c>
      <x:c r="E5" s="116" t="str">
        <x:v>I</x:v>
      </x:c>
      <x:c r="F5" s="116" t="str">
        <x:v>C</x:v>
      </x:c>
      <x:c r="G5" s="116" t="str">
        <x:v>I</x:v>
      </x:c>
      <x:c r="H5" s="116" t="str">
        <x:v>C</x:v>
      </x:c>
      <x:c r="I5" s="116" t="str">
        <x:v>I</x:v>
      </x:c>
      <x:c r="J5" s="116" t="str">
        <x:v>域范围清单/决议</x:v>
      </x:c>
      <x:c r="K5" s="116" t="str">
        <x:v>年度/重大变更</x:v>
      </x:c>
      <x:c r="L5" s="119" t="str">
        <x:v>范围稳定率</x:v>
      </x:c>
      <x:c r="M5" s="113"/>
      <x:c r="N5" s="113"/>
      <x:c r="O5" s="113"/>
    </x:row>
    <x:row r="6">
      <x:c r="A6" s="115" t="str">
        <x:v>数据标准制定与版本</x:v>
      </x:c>
      <x:c r="B6" s="116" t="str">
        <x:v>A</x:v>
      </x:c>
      <x:c r="C6" s="116" t="str">
        <x:v>I</x:v>
      </x:c>
      <x:c r="D6" s="116" t="str">
        <x:v>R</x:v>
      </x:c>
      <x:c r="E6" s="116" t="str">
        <x:v>C</x:v>
      </x:c>
      <x:c r="F6" s="116" t="str">
        <x:v>C</x:v>
      </x:c>
      <x:c r="G6" s="116" t="str">
        <x:v>C</x:v>
      </x:c>
      <x:c r="H6" s="116" t="str">
        <x:v>C</x:v>
      </x:c>
      <x:c r="I6" s="116" t="str">
        <x:v>I</x:v>
      </x:c>
      <x:c r="J6" s="116" t="str">
        <x:v>标准册/值域包/审批</x:v>
      </x:c>
      <x:c r="K6" s="116" t="str">
        <x:v>持续</x:v>
      </x:c>
      <x:c r="L6" s="119" t="str">
        <x:v>按期发布率</x:v>
      </x:c>
      <x:c r="M6" s="113"/>
      <x:c r="N6" s="113"/>
      <x:c r="O6" s="113"/>
    </x:row>
    <x:row r="7">
      <x:c r="A7" s="115" t="str">
        <x:v>权威源与字段生存规则</x:v>
      </x:c>
      <x:c r="B7" s="116" t="str">
        <x:v>I</x:v>
      </x:c>
      <x:c r="C7" s="116" t="str">
        <x:v>I</x:v>
      </x:c>
      <x:c r="D7" s="116" t="str">
        <x:v>A</x:v>
      </x:c>
      <x:c r="E7" s="116" t="str">
        <x:v>R</x:v>
      </x:c>
      <x:c r="F7" s="116" t="str">
        <x:v>C</x:v>
      </x:c>
      <x:c r="G7" s="116" t="str">
        <x:v>C</x:v>
      </x:c>
      <x:c r="H7" s="116" t="str">
        <x:v>C</x:v>
      </x:c>
      <x:c r="I7" s="116" t="str">
        <x:v>C</x:v>
      </x:c>
      <x:c r="J7" s="116" t="str">
        <x:v>权威矩阵/冲突规则</x:v>
      </x:c>
      <x:c r="K7" s="116" t="str">
        <x:v>持续</x:v>
      </x:c>
      <x:c r="L7" s="119" t="str">
        <x:v>争议关闭时长</x:v>
      </x:c>
      <x:c r="M7" s="113"/>
      <x:c r="N7" s="113"/>
      <x:c r="O7" s="113"/>
    </x:row>
    <x:row r="8">
      <x:c r="A8" s="115" t="str">
        <x:v>MDM逻辑模型</x:v>
      </x:c>
      <x:c r="B8" s="116" t="str">
        <x:v>I</x:v>
      </x:c>
      <x:c r="C8" s="116" t="str">
        <x:v>I</x:v>
      </x:c>
      <x:c r="D8" s="116" t="str">
        <x:v>A</x:v>
      </x:c>
      <x:c r="E8" s="116" t="str">
        <x:v>C</x:v>
      </x:c>
      <x:c r="F8" s="116" t="str">
        <x:v>R</x:v>
      </x:c>
      <x:c r="G8" s="116" t="str">
        <x:v>C</x:v>
      </x:c>
      <x:c r="H8" s="116" t="str">
        <x:v>C</x:v>
      </x:c>
      <x:c r="I8" s="116" t="str">
        <x:v>C</x:v>
      </x:c>
      <x:c r="J8" s="116" t="str">
        <x:v>模型/DDL/数据字典</x:v>
      </x:c>
      <x:c r="K8" s="116" t="str">
        <x:v>一期+扩域</x:v>
      </x:c>
      <x:c r="L8" s="119" t="str">
        <x:v>评审一次通过率</x:v>
      </x:c>
      <x:c r="M8" s="113"/>
      <x:c r="N8" s="113"/>
      <x:c r="O8" s="113"/>
    </x:row>
    <x:row r="9">
      <x:c r="A9" s="115" t="str">
        <x:v>接口与事件契约</x:v>
      </x:c>
      <x:c r="B9" s="116" t="str">
        <x:v>I</x:v>
      </x:c>
      <x:c r="C9" s="116" t="str">
        <x:v>I</x:v>
      </x:c>
      <x:c r="D9" s="116" t="str">
        <x:v>C</x:v>
      </x:c>
      <x:c r="E9" s="116" t="str">
        <x:v>I</x:v>
      </x:c>
      <x:c r="F9" s="116" t="str">
        <x:v>R/A</x:v>
      </x:c>
      <x:c r="G9" s="116" t="str">
        <x:v>C</x:v>
      </x:c>
      <x:c r="H9" s="116" t="str">
        <x:v>C</x:v>
      </x:c>
      <x:c r="I9" s="116" t="str">
        <x:v>R</x:v>
      </x:c>
      <x:c r="J9" s="116" t="str">
        <x:v>OpenAPI/AsyncAPI/测试</x:v>
      </x:c>
      <x:c r="K9" s="116" t="str">
        <x:v>每接口</x:v>
      </x:c>
      <x:c r="L9" s="119" t="str">
        <x:v>契约覆盖率</x:v>
      </x:c>
      <x:c r="M9" s="113"/>
      <x:c r="N9" s="113"/>
      <x:c r="O9" s="113"/>
    </x:row>
    <x:row r="10">
      <x:c r="A10" s="115" t="str">
        <x:v>质量规则与门禁</x:v>
      </x:c>
      <x:c r="B10" s="116" t="str">
        <x:v>I</x:v>
      </x:c>
      <x:c r="C10" s="116" t="str">
        <x:v>I</x:v>
      </x:c>
      <x:c r="D10" s="116" t="str">
        <x:v>A</x:v>
      </x:c>
      <x:c r="E10" s="116" t="str">
        <x:v>R</x:v>
      </x:c>
      <x:c r="F10" s="116" t="str">
        <x:v>C</x:v>
      </x:c>
      <x:c r="G10" s="116" t="str">
        <x:v>C</x:v>
      </x:c>
      <x:c r="H10" s="116" t="str">
        <x:v>C</x:v>
      </x:c>
      <x:c r="I10" s="116" t="str">
        <x:v>I</x:v>
      </x:c>
      <x:c r="J10" s="116" t="str">
        <x:v>规则/阈值/证据</x:v>
      </x:c>
      <x:c r="K10" s="116" t="str">
        <x:v>持续</x:v>
      </x:c>
      <x:c r="L10" s="119" t="str">
        <x:v>质量达标率</x:v>
      </x:c>
      <x:c r="M10" s="113"/>
      <x:c r="N10" s="113"/>
      <x:c r="O10" s="113"/>
    </x:row>
    <x:row r="11">
      <x:c r="A11" s="115" t="str">
        <x:v>患者疑似重复仲裁</x:v>
      </x:c>
      <x:c r="B11" s="116" t="str">
        <x:v>C</x:v>
      </x:c>
      <x:c r="C11" s="116" t="str">
        <x:v>I</x:v>
      </x:c>
      <x:c r="D11" s="116" t="str">
        <x:v>A</x:v>
      </x:c>
      <x:c r="E11" s="116" t="str">
        <x:v>R</x:v>
      </x:c>
      <x:c r="F11" s="116" t="str">
        <x:v>C</x:v>
      </x:c>
      <x:c r="G11" s="116" t="str">
        <x:v>C</x:v>
      </x:c>
      <x:c r="H11" s="116" t="str">
        <x:v>C</x:v>
      </x:c>
      <x:c r="I11" s="116" t="str">
        <x:v>I</x:v>
      </x:c>
      <x:c r="J11" s="116" t="str">
        <x:v>仲裁记录/合并或拒绝</x:v>
      </x:c>
      <x:c r="K11" s="116" t="str">
        <x:v>每日</x:v>
      </x:c>
      <x:c r="L11" s="119" t="str">
        <x:v>误合并为0</x:v>
      </x:c>
      <x:c r="M11" s="113"/>
      <x:c r="N11" s="113"/>
      <x:c r="O11" s="113"/>
    </x:row>
    <x:row r="12">
      <x:c r="A12" s="115" t="str">
        <x:v>主数据变更审批</x:v>
      </x:c>
      <x:c r="B12" s="116" t="str">
        <x:v>I</x:v>
      </x:c>
      <x:c r="C12" s="116" t="str">
        <x:v>I</x:v>
      </x:c>
      <x:c r="D12" s="116" t="str">
        <x:v>A</x:v>
      </x:c>
      <x:c r="E12" s="116" t="str">
        <x:v>R</x:v>
      </x:c>
      <x:c r="F12" s="116" t="str">
        <x:v>I</x:v>
      </x:c>
      <x:c r="G12" s="116" t="str">
        <x:v>C</x:v>
      </x:c>
      <x:c r="H12" s="116" t="str">
        <x:v>C</x:v>
      </x:c>
      <x:c r="I12" s="116" t="str">
        <x:v>I</x:v>
      </x:c>
      <x:c r="J12" s="116" t="str">
        <x:v>变更单/影响/回滚</x:v>
      </x:c>
      <x:c r="K12" s="116" t="str">
        <x:v>按需</x:v>
      </x:c>
      <x:c r="L12" s="119" t="str">
        <x:v>审批SLA</x:v>
      </x:c>
      <x:c r="M12" s="113"/>
      <x:c r="N12" s="113"/>
      <x:c r="O12" s="113"/>
    </x:row>
    <x:row r="13">
      <x:c r="A13" s="115" t="str">
        <x:v>生产发布与回滚</x:v>
      </x:c>
      <x:c r="B13" s="116" t="str">
        <x:v>I</x:v>
      </x:c>
      <x:c r="C13" s="116" t="str">
        <x:v>I</x:v>
      </x:c>
      <x:c r="D13" s="116" t="str">
        <x:v>C</x:v>
      </x:c>
      <x:c r="E13" s="116" t="str">
        <x:v>C</x:v>
      </x:c>
      <x:c r="F13" s="116" t="str">
        <x:v>R</x:v>
      </x:c>
      <x:c r="G13" s="116" t="str">
        <x:v>A/C</x:v>
      </x:c>
      <x:c r="H13" s="116" t="str">
        <x:v>I</x:v>
      </x:c>
      <x:c r="I13" s="116" t="str">
        <x:v>C</x:v>
      </x:c>
      <x:c r="J13" s="116" t="str">
        <x:v>发布记录/回滚演练</x:v>
      </x:c>
      <x:c r="K13" s="116" t="str">
        <x:v>按版本</x:v>
      </x:c>
      <x:c r="L13" s="119" t="str">
        <x:v>发布成功率</x:v>
      </x:c>
      <x:c r="M13" s="113"/>
      <x:c r="N13" s="113"/>
      <x:c r="O13" s="113"/>
    </x:row>
    <x:row r="14">
      <x:c r="A14" s="115" t="str">
        <x:v>权限与数据分类分级</x:v>
      </x:c>
      <x:c r="B14" s="116" t="str">
        <x:v>I</x:v>
      </x:c>
      <x:c r="C14" s="116" t="str">
        <x:v>I</x:v>
      </x:c>
      <x:c r="D14" s="116" t="str">
        <x:v>C</x:v>
      </x:c>
      <x:c r="E14" s="116" t="str">
        <x:v>I</x:v>
      </x:c>
      <x:c r="F14" s="116" t="str">
        <x:v>R</x:v>
      </x:c>
      <x:c r="G14" s="116" t="str">
        <x:v>A</x:v>
      </x:c>
      <x:c r="H14" s="116" t="str">
        <x:v>C</x:v>
      </x:c>
      <x:c r="I14" s="116" t="str">
        <x:v>I</x:v>
      </x:c>
      <x:c r="J14" s="116" t="str">
        <x:v>权限矩阵/PIPIA</x:v>
      </x:c>
      <x:c r="K14" s="116" t="str">
        <x:v>季度</x:v>
      </x:c>
      <x:c r="L14" s="119" t="str">
        <x:v>越权事件为0</x:v>
      </x:c>
      <x:c r="M14" s="113"/>
      <x:c r="N14" s="113"/>
      <x:c r="O14" s="113"/>
    </x:row>
    <x:row r="15">
      <x:c r="A15" s="115" t="str">
        <x:v>日志审计与导出审查</x:v>
      </x:c>
      <x:c r="B15" s="116" t="str">
        <x:v>I</x:v>
      </x:c>
      <x:c r="C15" s="116" t="str">
        <x:v>I</x:v>
      </x:c>
      <x:c r="D15" s="116" t="str">
        <x:v>I</x:v>
      </x:c>
      <x:c r="E15" s="116" t="str">
        <x:v>I</x:v>
      </x:c>
      <x:c r="F15" s="116" t="str">
        <x:v>C</x:v>
      </x:c>
      <x:c r="G15" s="116" t="str">
        <x:v>R/A</x:v>
      </x:c>
      <x:c r="H15" s="116" t="str">
        <x:v>I</x:v>
      </x:c>
      <x:c r="I15" s="116" t="str">
        <x:v>I</x:v>
      </x:c>
      <x:c r="J15" s="116" t="str">
        <x:v>审计报告/导出审批</x:v>
      </x:c>
      <x:c r="K15" s="116" t="str">
        <x:v>月/按需</x:v>
      </x:c>
      <x:c r="L15" s="119" t="str">
        <x:v>留痕100%</x:v>
      </x:c>
      <x:c r="M15" s="113"/>
      <x:c r="N15" s="113"/>
      <x:c r="O15" s="113"/>
    </x:row>
    <x:row r="16">
      <x:c r="A16" s="115" t="str">
        <x:v>容量与成本管理</x:v>
      </x:c>
      <x:c r="B16" s="116" t="str">
        <x:v>I</x:v>
      </x:c>
      <x:c r="C16" s="116" t="str">
        <x:v>A/C</x:v>
      </x:c>
      <x:c r="D16" s="116" t="str">
        <x:v>I</x:v>
      </x:c>
      <x:c r="E16" s="116" t="str">
        <x:v>I</x:v>
      </x:c>
      <x:c r="F16" s="116" t="str">
        <x:v>R</x:v>
      </x:c>
      <x:c r="G16" s="116" t="str">
        <x:v>C</x:v>
      </x:c>
      <x:c r="H16" s="116" t="str">
        <x:v>I</x:v>
      </x:c>
      <x:c r="I16" s="116" t="str">
        <x:v>C</x:v>
      </x:c>
      <x:c r="J16" s="116" t="str">
        <x:v>容量报告/扩容计划</x:v>
      </x:c>
      <x:c r="K16" s="116" t="str">
        <x:v>月/季</x:v>
      </x:c>
      <x:c r="L16" s="119" t="str">
        <x:v>资源利用率</x:v>
      </x:c>
      <x:c r="M16" s="113"/>
      <x:c r="N16" s="113"/>
      <x:c r="O16" s="113"/>
    </x:row>
    <x:row r="17">
      <x:c r="A17" s="115" t="str">
        <x:v>备份恢复和灾备演练</x:v>
      </x:c>
      <x:c r="B17" s="116" t="str">
        <x:v>I</x:v>
      </x:c>
      <x:c r="C17" s="116" t="str">
        <x:v>A/C</x:v>
      </x:c>
      <x:c r="D17" s="116" t="str">
        <x:v>I</x:v>
      </x:c>
      <x:c r="E17" s="116" t="str">
        <x:v>I</x:v>
      </x:c>
      <x:c r="F17" s="116" t="str">
        <x:v>R</x:v>
      </x:c>
      <x:c r="G17" s="116" t="str">
        <x:v>R/A</x:v>
      </x:c>
      <x:c r="H17" s="116" t="str">
        <x:v>C</x:v>
      </x:c>
      <x:c r="I17" s="116" t="str">
        <x:v>C</x:v>
      </x:c>
      <x:c r="J17" s="116" t="str">
        <x:v>演练报告/整改闭环</x:v>
      </x:c>
      <x:c r="K17" s="116" t="str">
        <x:v>季度</x:v>
      </x:c>
      <x:c r="L17" s="119" t="str">
        <x:v>RTO/RPO达标</x:v>
      </x:c>
      <x:c r="M17" s="113"/>
      <x:c r="N17" s="113"/>
      <x:c r="O17" s="113"/>
    </x:row>
    <x:row r="18">
      <x:c r="A18" s="115" t="str">
        <x:v>培训与变更管理</x:v>
      </x:c>
      <x:c r="B18" s="116" t="str">
        <x:v>I</x:v>
      </x:c>
      <x:c r="C18" s="116" t="str">
        <x:v>C</x:v>
      </x:c>
      <x:c r="D18" s="116" t="str">
        <x:v>A</x:v>
      </x:c>
      <x:c r="E18" s="116" t="str">
        <x:v>R</x:v>
      </x:c>
      <x:c r="F18" s="116" t="str">
        <x:v>C</x:v>
      </x:c>
      <x:c r="G18" s="116" t="str">
        <x:v>C</x:v>
      </x:c>
      <x:c r="H18" s="116" t="str">
        <x:v>R</x:v>
      </x:c>
      <x:c r="I18" s="116" t="str">
        <x:v>C</x:v>
      </x:c>
      <x:c r="J18" s="116" t="str">
        <x:v>培训记录/操作考核</x:v>
      </x:c>
      <x:c r="K18" s="116" t="str">
        <x:v>阶段/年度</x:v>
      </x:c>
      <x:c r="L18" s="119" t="str">
        <x:v>覆盖率100%</x:v>
      </x:c>
      <x:c r="M18" s="113"/>
      <x:c r="N18" s="113"/>
      <x:c r="O18" s="113"/>
    </x:row>
    <x:row r="19">
      <x:c r="A19" s="121" t="str">
        <x:v>月度运营复盘</x:v>
      </x:c>
      <x:c r="B19" s="123" t="str">
        <x:v>A</x:v>
      </x:c>
      <x:c r="C19" s="123" t="str">
        <x:v>C</x:v>
      </x:c>
      <x:c r="D19" s="123" t="str">
        <x:v>R</x:v>
      </x:c>
      <x:c r="E19" s="123" t="str">
        <x:v>R</x:v>
      </x:c>
      <x:c r="F19" s="123" t="str">
        <x:v>C</x:v>
      </x:c>
      <x:c r="G19" s="123" t="str">
        <x:v>C</x:v>
      </x:c>
      <x:c r="H19" s="123" t="str">
        <x:v>C</x:v>
      </x:c>
      <x:c r="I19" s="123" t="str">
        <x:v>I</x:v>
      </x:c>
      <x:c r="J19" s="123" t="str">
        <x:v>SLO/质量/工单月报</x:v>
      </x:c>
      <x:c r="K19" s="123" t="str">
        <x:v>月</x:v>
      </x:c>
      <x:c r="L19" s="124" t="str">
        <x:v>闭环率</x:v>
      </x:c>
      <x:c r="M19" s="113"/>
      <x:c r="N19" s="113"/>
      <x:c r="O19" s="113"/>
    </x:row>
    <x:row r="20">
      <x:c r="A20" s="113"/>
      <x:c r="B20" s="113"/>
      <x:c r="C20" s="113"/>
      <x:c r="D20" s="113"/>
      <x:c r="E20" s="113"/>
      <x:c r="F20" s="113"/>
      <x:c r="G20" s="113"/>
      <x:c r="H20" s="113"/>
      <x:c r="I20" s="113"/>
      <x:c r="J20" s="113"/>
      <x:c r="K20" s="113"/>
      <x:c r="L20" s="113"/>
      <x:c r="M20" s="113"/>
      <x:c r="N20" s="113"/>
      <x:c r="O20" s="113"/>
    </x:row>
    <x:row r="21">
      <x:c r="A21" s="113"/>
      <x:c r="B21" s="113"/>
      <x:c r="C21" s="113"/>
      <x:c r="D21" s="113"/>
      <x:c r="E21" s="113"/>
      <x:c r="F21" s="113"/>
      <x:c r="G21" s="113"/>
      <x:c r="H21" s="113"/>
      <x:c r="I21" s="113"/>
      <x:c r="J21" s="113"/>
      <x:c r="K21" s="113"/>
      <x:c r="L21" s="113"/>
      <x:c r="M21" s="113"/>
      <x:c r="N21" s="113"/>
      <x:c r="O21" s="113"/>
    </x:row>
    <x:row r="22">
      <x:c r="A22" s="113"/>
      <x:c r="B22" s="113"/>
      <x:c r="C22" s="113"/>
      <x:c r="D22" s="113"/>
      <x:c r="E22" s="113"/>
      <x:c r="F22" s="113"/>
      <x:c r="G22" s="113"/>
      <x:c r="H22" s="113"/>
      <x:c r="I22" s="113"/>
      <x:c r="J22" s="113"/>
      <x:c r="K22" s="113"/>
      <x:c r="L22" s="113"/>
      <x:c r="M22" s="113"/>
      <x:c r="N22" s="113"/>
      <x:c r="O22" s="113"/>
    </x:row>
    <x:row r="23">
      <x:c r="A23" s="113"/>
      <x:c r="B23" s="113"/>
      <x:c r="C23" s="113"/>
      <x:c r="D23" s="113"/>
      <x:c r="E23" s="113"/>
      <x:c r="F23" s="113"/>
      <x:c r="G23" s="113"/>
      <x:c r="H23" s="113"/>
      <x:c r="I23" s="113"/>
      <x:c r="J23" s="113"/>
      <x:c r="K23" s="113"/>
      <x:c r="L23" s="113"/>
      <x:c r="M23" s="113"/>
      <x:c r="N23" s="113"/>
      <x:c r="O23" s="113"/>
    </x:row>
    <x:row r="24">
      <x:c r="A24" s="113"/>
      <x:c r="B24" s="113"/>
      <x:c r="C24" s="113"/>
      <x:c r="D24" s="113"/>
      <x:c r="E24" s="113"/>
      <x:c r="F24" s="113"/>
      <x:c r="G24" s="113"/>
      <x:c r="H24" s="113"/>
      <x:c r="I24" s="113"/>
      <x:c r="J24" s="113"/>
      <x:c r="K24" s="113"/>
      <x:c r="L24" s="113"/>
      <x:c r="M24" s="113"/>
      <x:c r="N24" s="113"/>
      <x:c r="O24" s="113"/>
    </x:row>
    <x:row r="25">
      <x:c r="A25" s="113"/>
      <x:c r="B25" s="113"/>
      <x:c r="C25" s="113"/>
      <x:c r="D25" s="113"/>
      <x:c r="E25" s="113"/>
      <x:c r="F25" s="113"/>
      <x:c r="G25" s="113"/>
      <x:c r="H25" s="113"/>
      <x:c r="I25" s="113"/>
      <x:c r="J25" s="113"/>
      <x:c r="K25" s="113"/>
      <x:c r="L25" s="113"/>
      <x:c r="M25" s="113"/>
      <x:c r="N25" s="113"/>
      <x:c r="O25" s="113"/>
    </x:row>
    <x:row r="26">
      <x:c r="A26" s="113"/>
      <x:c r="B26" s="113"/>
      <x:c r="C26" s="113"/>
      <x:c r="D26" s="113"/>
      <x:c r="E26" s="113"/>
      <x:c r="F26" s="113"/>
      <x:c r="G26" s="113"/>
      <x:c r="H26" s="113"/>
      <x:c r="I26" s="113"/>
      <x:c r="J26" s="113"/>
      <x:c r="K26" s="113"/>
      <x:c r="L26" s="113"/>
      <x:c r="M26" s="113"/>
      <x:c r="N26" s="113"/>
      <x:c r="O26" s="113"/>
    </x:row>
    <x:row r="27">
      <x:c r="A27" s="113"/>
      <x:c r="B27" s="113"/>
      <x:c r="C27" s="113"/>
      <x:c r="D27" s="113"/>
      <x:c r="E27" s="113"/>
      <x:c r="F27" s="113"/>
      <x:c r="G27" s="113"/>
      <x:c r="H27" s="113"/>
      <x:c r="I27" s="113"/>
      <x:c r="J27" s="113"/>
      <x:c r="K27" s="113"/>
      <x:c r="L27" s="113"/>
      <x:c r="M27" s="113"/>
      <x:c r="N27" s="113"/>
      <x:c r="O27" s="113"/>
    </x:row>
    <x:row r="28">
      <x:c r="A28" s="113"/>
      <x:c r="B28" s="113"/>
      <x:c r="C28" s="113"/>
      <x:c r="D28" s="113"/>
      <x:c r="E28" s="113"/>
      <x:c r="F28" s="113"/>
      <x:c r="G28" s="113"/>
      <x:c r="H28" s="113"/>
      <x:c r="I28" s="113"/>
      <x:c r="J28" s="113"/>
      <x:c r="K28" s="113"/>
      <x:c r="L28" s="113"/>
      <x:c r="M28" s="113"/>
      <x:c r="N28" s="113"/>
      <x:c r="O28" s="113"/>
    </x:row>
    <x:row r="29">
      <x:c r="A29" s="113"/>
      <x:c r="B29" s="113"/>
      <x:c r="C29" s="113"/>
      <x:c r="D29" s="113"/>
      <x:c r="E29" s="113"/>
      <x:c r="F29" s="113"/>
      <x:c r="G29" s="113"/>
      <x:c r="H29" s="113"/>
      <x:c r="I29" s="113"/>
      <x:c r="J29" s="113"/>
      <x:c r="K29" s="113"/>
      <x:c r="L29" s="113"/>
      <x:c r="M29" s="113"/>
      <x:c r="N29" s="113"/>
      <x:c r="O29" s="113"/>
    </x:row>
    <x:row r="30">
      <x:c r="A30" s="113"/>
      <x:c r="B30" s="113"/>
      <x:c r="C30" s="113"/>
      <x:c r="D30" s="113"/>
      <x:c r="E30" s="113"/>
      <x:c r="F30" s="113"/>
      <x:c r="G30" s="113"/>
      <x:c r="H30" s="113"/>
      <x:c r="I30" s="113"/>
      <x:c r="J30" s="113"/>
      <x:c r="K30" s="113"/>
      <x:c r="L30" s="113"/>
      <x:c r="M30" s="113"/>
      <x:c r="N30" s="113"/>
      <x:c r="O30" s="113"/>
    </x:row>
    <x:row r="31">
      <x:c r="A31" s="113"/>
      <x:c r="B31" s="113"/>
      <x:c r="C31" s="113"/>
      <x:c r="D31" s="113"/>
      <x:c r="E31" s="113"/>
      <x:c r="F31" s="113"/>
      <x:c r="G31" s="113"/>
      <x:c r="H31" s="113"/>
      <x:c r="I31" s="113"/>
      <x:c r="J31" s="113"/>
      <x:c r="K31" s="113"/>
      <x:c r="L31" s="113"/>
      <x:c r="M31" s="113"/>
      <x:c r="N31" s="113"/>
      <x:c r="O31" s="113"/>
    </x:row>
    <x:row r="32">
      <x:c r="A32" s="113"/>
      <x:c r="B32" s="113"/>
      <x:c r="C32" s="113"/>
      <x:c r="D32" s="113"/>
      <x:c r="E32" s="113"/>
      <x:c r="F32" s="113"/>
      <x:c r="G32" s="113"/>
      <x:c r="H32" s="113"/>
      <x:c r="I32" s="113"/>
      <x:c r="J32" s="113"/>
      <x:c r="K32" s="113"/>
      <x:c r="L32" s="113"/>
      <x:c r="M32" s="113"/>
      <x:c r="N32" s="113"/>
      <x:c r="O32" s="113"/>
    </x:row>
    <x:row r="33">
      <x:c r="A33" s="113"/>
      <x:c r="B33" s="113"/>
      <x:c r="C33" s="113"/>
      <x:c r="D33" s="113"/>
      <x:c r="E33" s="113"/>
      <x:c r="F33" s="113"/>
      <x:c r="G33" s="113"/>
      <x:c r="H33" s="113"/>
      <x:c r="I33" s="113"/>
      <x:c r="J33" s="113"/>
      <x:c r="K33" s="113"/>
      <x:c r="L33" s="113"/>
      <x:c r="M33" s="113"/>
      <x:c r="N33" s="113"/>
      <x:c r="O33" s="113"/>
    </x:row>
    <x:row r="34">
      <x:c r="A34" s="113"/>
      <x:c r="B34" s="113"/>
      <x:c r="C34" s="113"/>
      <x:c r="D34" s="113"/>
      <x:c r="E34" s="113"/>
      <x:c r="F34" s="113"/>
      <x:c r="G34" s="113"/>
      <x:c r="H34" s="113"/>
      <x:c r="I34" s="113"/>
      <x:c r="J34" s="113"/>
      <x:c r="K34" s="113"/>
      <x:c r="L34" s="113"/>
      <x:c r="M34" s="113"/>
      <x:c r="N34" s="113"/>
      <x:c r="O34" s="113"/>
    </x:row>
    <x:row r="35">
      <x:c r="A35" s="113"/>
      <x:c r="B35" s="113"/>
      <x:c r="C35" s="113"/>
      <x:c r="D35" s="113"/>
      <x:c r="E35" s="113"/>
      <x:c r="F35" s="113"/>
      <x:c r="G35" s="113"/>
      <x:c r="H35" s="113"/>
      <x:c r="I35" s="113"/>
      <x:c r="J35" s="113"/>
      <x:c r="K35" s="113"/>
      <x:c r="L35" s="113"/>
      <x:c r="M35" s="113"/>
      <x:c r="N35" s="113"/>
      <x:c r="O35" s="113"/>
    </x:row>
    <x:row r="36">
      <x:c r="A36" s="113"/>
      <x:c r="B36" s="113"/>
      <x:c r="C36" s="113"/>
      <x:c r="D36" s="113"/>
      <x:c r="E36" s="113"/>
      <x:c r="F36" s="113"/>
      <x:c r="G36" s="113"/>
      <x:c r="H36" s="113"/>
      <x:c r="I36" s="113"/>
      <x:c r="J36" s="113"/>
      <x:c r="K36" s="113"/>
      <x:c r="L36" s="113"/>
      <x:c r="M36" s="113"/>
      <x:c r="N36" s="113"/>
      <x:c r="O36" s="113"/>
    </x:row>
    <x:row r="37">
      <x:c r="A37" s="113"/>
      <x:c r="B37" s="113"/>
      <x:c r="C37" s="113"/>
      <x:c r="D37" s="113"/>
      <x:c r="E37" s="113"/>
      <x:c r="F37" s="113"/>
      <x:c r="G37" s="113"/>
      <x:c r="H37" s="113"/>
      <x:c r="I37" s="113"/>
      <x:c r="J37" s="113"/>
      <x:c r="K37" s="113"/>
      <x:c r="L37" s="113"/>
      <x:c r="M37" s="113"/>
      <x:c r="N37" s="113"/>
      <x:c r="O37" s="113"/>
    </x:row>
    <x:row r="38">
      <x:c r="A38" s="113"/>
      <x:c r="B38" s="113"/>
      <x:c r="C38" s="113"/>
      <x:c r="D38" s="113"/>
      <x:c r="E38" s="113"/>
      <x:c r="F38" s="113"/>
      <x:c r="G38" s="113"/>
      <x:c r="H38" s="113"/>
      <x:c r="I38" s="113"/>
      <x:c r="J38" s="113"/>
      <x:c r="K38" s="113"/>
      <x:c r="L38" s="113"/>
      <x:c r="M38" s="113"/>
      <x:c r="N38" s="113"/>
      <x:c r="O38" s="113"/>
    </x:row>
    <x:row r="39">
      <x:c r="A39" s="113"/>
      <x:c r="B39" s="113"/>
      <x:c r="C39" s="113"/>
      <x:c r="D39" s="113"/>
      <x:c r="E39" s="113"/>
      <x:c r="F39" s="113"/>
      <x:c r="G39" s="113"/>
      <x:c r="H39" s="113"/>
      <x:c r="I39" s="113"/>
      <x:c r="J39" s="113"/>
      <x:c r="K39" s="113"/>
      <x:c r="L39" s="113"/>
      <x:c r="M39" s="113"/>
      <x:c r="N39" s="113"/>
      <x:c r="O39" s="113"/>
    </x:row>
    <x:row r="40">
      <x:c r="A40" s="113"/>
      <x:c r="B40" s="113"/>
      <x:c r="C40" s="113"/>
      <x:c r="D40" s="113"/>
      <x:c r="E40" s="113"/>
      <x:c r="F40" s="113"/>
      <x:c r="G40" s="113"/>
      <x:c r="H40" s="113"/>
      <x:c r="I40" s="113"/>
      <x:c r="J40" s="113"/>
      <x:c r="K40" s="113"/>
      <x:c r="L40" s="113"/>
      <x:c r="M40" s="113"/>
      <x:c r="N40" s="113"/>
      <x:c r="O40" s="113"/>
    </x:row>
    <x:row r="41">
      <x:c r="A41" s="113"/>
      <x:c r="B41" s="113"/>
      <x:c r="C41" s="113"/>
      <x:c r="D41" s="113"/>
      <x:c r="E41" s="113"/>
      <x:c r="F41" s="113"/>
      <x:c r="G41" s="113"/>
      <x:c r="H41" s="113"/>
      <x:c r="I41" s="113"/>
      <x:c r="J41" s="113"/>
      <x:c r="K41" s="113"/>
      <x:c r="L41" s="113"/>
      <x:c r="M41" s="113"/>
      <x:c r="N41" s="113"/>
      <x:c r="O41" s="113"/>
    </x:row>
    <x:row r="42">
      <x:c r="A42" s="113"/>
      <x:c r="B42" s="113"/>
      <x:c r="C42" s="113"/>
      <x:c r="D42" s="113"/>
      <x:c r="E42" s="113"/>
      <x:c r="F42" s="113"/>
      <x:c r="G42" s="113"/>
      <x:c r="H42" s="113"/>
      <x:c r="I42" s="113"/>
      <x:c r="J42" s="113"/>
      <x:c r="K42" s="113"/>
      <x:c r="L42" s="113"/>
      <x:c r="M42" s="113"/>
      <x:c r="N42" s="113"/>
      <x:c r="O42" s="113"/>
    </x:row>
    <x:row r="43">
      <x:c r="A43" s="113"/>
      <x:c r="B43" s="113"/>
      <x:c r="C43" s="113"/>
      <x:c r="D43" s="113"/>
      <x:c r="E43" s="113"/>
      <x:c r="F43" s="113"/>
      <x:c r="G43" s="113"/>
      <x:c r="H43" s="113"/>
      <x:c r="I43" s="113"/>
      <x:c r="J43" s="113"/>
      <x:c r="K43" s="113"/>
      <x:c r="L43" s="113"/>
      <x:c r="M43" s="113"/>
      <x:c r="N43" s="113"/>
      <x:c r="O43" s="113"/>
    </x:row>
    <x:row r="44">
      <x:c r="A44" s="113"/>
      <x:c r="B44" s="113"/>
      <x:c r="C44" s="113"/>
      <x:c r="D44" s="113"/>
      <x:c r="E44" s="113"/>
      <x:c r="F44" s="113"/>
      <x:c r="G44" s="113"/>
      <x:c r="H44" s="113"/>
      <x:c r="I44" s="113"/>
      <x:c r="J44" s="113"/>
      <x:c r="K44" s="113"/>
      <x:c r="L44" s="113"/>
      <x:c r="M44" s="113"/>
      <x:c r="N44" s="113"/>
      <x:c r="O44" s="113"/>
    </x:row>
    <x:row r="45">
      <x:c r="A45" s="113"/>
      <x:c r="B45" s="113"/>
      <x:c r="C45" s="113"/>
      <x:c r="D45" s="113"/>
      <x:c r="E45" s="113"/>
      <x:c r="F45" s="113"/>
      <x:c r="G45" s="113"/>
      <x:c r="H45" s="113"/>
      <x:c r="I45" s="113"/>
      <x:c r="J45" s="113"/>
      <x:c r="K45" s="113"/>
      <x:c r="L45" s="113"/>
      <x:c r="M45" s="113"/>
      <x:c r="N45" s="113"/>
      <x:c r="O45" s="113"/>
    </x:row>
    <x:row r="46">
      <x:c r="A46" s="113"/>
      <x:c r="B46" s="113"/>
      <x:c r="C46" s="113"/>
      <x:c r="D46" s="113"/>
      <x:c r="E46" s="113"/>
      <x:c r="F46" s="113"/>
      <x:c r="G46" s="113"/>
      <x:c r="H46" s="113"/>
      <x:c r="I46" s="113"/>
      <x:c r="J46" s="113"/>
      <x:c r="K46" s="113"/>
      <x:c r="L46" s="113"/>
      <x:c r="M46" s="113"/>
      <x:c r="N46" s="113"/>
      <x:c r="O46" s="113"/>
    </x:row>
    <x:row r="47">
      <x:c r="A47" s="113"/>
      <x:c r="B47" s="113"/>
      <x:c r="C47" s="113"/>
      <x:c r="D47" s="113"/>
      <x:c r="E47" s="113"/>
      <x:c r="F47" s="113"/>
      <x:c r="G47" s="113"/>
      <x:c r="H47" s="113"/>
      <x:c r="I47" s="113"/>
      <x:c r="J47" s="113"/>
      <x:c r="K47" s="113"/>
      <x:c r="L47" s="113"/>
      <x:c r="M47" s="113"/>
      <x:c r="N47" s="113"/>
      <x:c r="O47" s="113"/>
    </x:row>
    <x:row r="48">
      <x:c r="A48" s="113"/>
      <x:c r="B48" s="113"/>
      <x:c r="C48" s="113"/>
      <x:c r="D48" s="113"/>
      <x:c r="E48" s="113"/>
      <x:c r="F48" s="113"/>
      <x:c r="G48" s="113"/>
      <x:c r="H48" s="113"/>
      <x:c r="I48" s="113"/>
      <x:c r="J48" s="113"/>
      <x:c r="K48" s="113"/>
      <x:c r="L48" s="113"/>
      <x:c r="M48" s="113"/>
      <x:c r="N48" s="113"/>
      <x:c r="O48" s="113"/>
    </x:row>
    <x:row r="49">
      <x:c r="A49" s="113"/>
      <x:c r="B49" s="113"/>
      <x:c r="C49" s="113"/>
      <x:c r="D49" s="113"/>
      <x:c r="E49" s="113"/>
      <x:c r="F49" s="113"/>
      <x:c r="G49" s="113"/>
      <x:c r="H49" s="113"/>
      <x:c r="I49" s="113"/>
      <x:c r="J49" s="113"/>
      <x:c r="K49" s="113"/>
      <x:c r="L49" s="113"/>
      <x:c r="M49" s="113"/>
      <x:c r="N49" s="113"/>
      <x:c r="O49" s="113"/>
    </x:row>
    <x:row r="50">
      <x:c r="A50" s="113"/>
      <x:c r="B50" s="113"/>
      <x:c r="C50" s="113"/>
      <x:c r="D50" s="113"/>
      <x:c r="E50" s="113"/>
      <x:c r="F50" s="113"/>
      <x:c r="G50" s="113"/>
      <x:c r="H50" s="113"/>
      <x:c r="I50" s="113"/>
      <x:c r="J50" s="113"/>
      <x:c r="K50" s="113"/>
      <x:c r="L50" s="113"/>
      <x:c r="M50" s="113"/>
      <x:c r="N50" s="113"/>
      <x:c r="O50" s="113"/>
    </x:row>
    <x:row r="51">
      <x:c r="A51" s="113"/>
      <x:c r="B51" s="113"/>
      <x:c r="C51" s="113"/>
      <x:c r="D51" s="113"/>
      <x:c r="E51" s="113"/>
      <x:c r="F51" s="113"/>
      <x:c r="G51" s="113"/>
      <x:c r="H51" s="113"/>
      <x:c r="I51" s="113"/>
      <x:c r="J51" s="113"/>
      <x:c r="K51" s="113"/>
      <x:c r="L51" s="113"/>
      <x:c r="M51" s="113"/>
      <x:c r="N51" s="113"/>
      <x:c r="O51" s="113"/>
    </x:row>
    <x:row r="52">
      <x:c r="A52" s="113"/>
      <x:c r="B52" s="113"/>
      <x:c r="C52" s="113"/>
      <x:c r="D52" s="113"/>
      <x:c r="E52" s="113"/>
      <x:c r="F52" s="113"/>
      <x:c r="G52" s="113"/>
      <x:c r="H52" s="113"/>
      <x:c r="I52" s="113"/>
      <x:c r="J52" s="113"/>
      <x:c r="K52" s="113"/>
      <x:c r="L52" s="113"/>
      <x:c r="M52" s="113"/>
      <x:c r="N52" s="113"/>
      <x:c r="O52" s="113"/>
    </x:row>
    <x:row r="53">
      <x:c r="A53" s="113"/>
      <x:c r="B53" s="113"/>
      <x:c r="C53" s="113"/>
      <x:c r="D53" s="113"/>
      <x:c r="E53" s="113"/>
      <x:c r="F53" s="113"/>
      <x:c r="G53" s="113"/>
      <x:c r="H53" s="113"/>
      <x:c r="I53" s="113"/>
      <x:c r="J53" s="113"/>
      <x:c r="K53" s="113"/>
      <x:c r="L53" s="113"/>
      <x:c r="M53" s="113"/>
      <x:c r="N53" s="113"/>
      <x:c r="O53" s="113"/>
    </x:row>
    <x:row r="54">
      <x:c r="A54" s="113"/>
      <x:c r="B54" s="113"/>
      <x:c r="C54" s="113"/>
      <x:c r="D54" s="113"/>
      <x:c r="E54" s="113"/>
      <x:c r="F54" s="113"/>
      <x:c r="G54" s="113"/>
      <x:c r="H54" s="113"/>
      <x:c r="I54" s="113"/>
      <x:c r="J54" s="113"/>
      <x:c r="K54" s="113"/>
      <x:c r="L54" s="113"/>
      <x:c r="M54" s="113"/>
      <x:c r="N54" s="113"/>
      <x:c r="O54" s="113"/>
    </x:row>
    <x:row r="55">
      <x:c r="A55" s="113"/>
      <x:c r="B55" s="113"/>
      <x:c r="C55" s="113"/>
      <x:c r="D55" s="113"/>
      <x:c r="E55" s="113"/>
      <x:c r="F55" s="113"/>
      <x:c r="G55" s="113"/>
      <x:c r="H55" s="113"/>
      <x:c r="I55" s="113"/>
      <x:c r="J55" s="113"/>
      <x:c r="K55" s="113"/>
      <x:c r="L55" s="113"/>
      <x:c r="M55" s="113"/>
      <x:c r="N55" s="113"/>
      <x:c r="O55" s="113"/>
    </x:row>
    <x:row r="56">
      <x:c r="A56" s="113"/>
      <x:c r="B56" s="113"/>
      <x:c r="C56" s="113"/>
      <x:c r="D56" s="113"/>
      <x:c r="E56" s="113"/>
      <x:c r="F56" s="113"/>
      <x:c r="G56" s="113"/>
      <x:c r="H56" s="113"/>
      <x:c r="I56" s="113"/>
      <x:c r="J56" s="113"/>
      <x:c r="K56" s="113"/>
      <x:c r="L56" s="113"/>
      <x:c r="M56" s="113"/>
      <x:c r="N56" s="113"/>
      <x:c r="O56" s="113"/>
    </x:row>
    <x:row r="57">
      <x:c r="A57" s="113"/>
      <x:c r="B57" s="113"/>
      <x:c r="C57" s="113"/>
      <x:c r="D57" s="113"/>
      <x:c r="E57" s="113"/>
      <x:c r="F57" s="113"/>
      <x:c r="G57" s="113"/>
      <x:c r="H57" s="113"/>
      <x:c r="I57" s="113"/>
      <x:c r="J57" s="113"/>
      <x:c r="K57" s="113"/>
      <x:c r="L57" s="113"/>
      <x:c r="M57" s="113"/>
      <x:c r="N57" s="113"/>
      <x:c r="O57" s="113"/>
    </x:row>
    <x:row r="58">
      <x:c r="A58" s="113"/>
      <x:c r="B58" s="113"/>
      <x:c r="C58" s="113"/>
      <x:c r="D58" s="113"/>
      <x:c r="E58" s="113"/>
      <x:c r="F58" s="113"/>
      <x:c r="G58" s="113"/>
      <x:c r="H58" s="113"/>
      <x:c r="I58" s="113"/>
      <x:c r="J58" s="113"/>
      <x:c r="K58" s="113"/>
      <x:c r="L58" s="113"/>
      <x:c r="M58" s="113"/>
      <x:c r="N58" s="113"/>
      <x:c r="O58" s="113"/>
    </x:row>
    <x:row r="59">
      <x:c r="A59" s="113"/>
      <x:c r="B59" s="113"/>
      <x:c r="C59" s="113"/>
      <x:c r="D59" s="113"/>
      <x:c r="E59" s="113"/>
      <x:c r="F59" s="113"/>
      <x:c r="G59" s="113"/>
      <x:c r="H59" s="113"/>
      <x:c r="I59" s="113"/>
      <x:c r="J59" s="113"/>
      <x:c r="K59" s="113"/>
      <x:c r="L59" s="113"/>
      <x:c r="M59" s="113"/>
      <x:c r="N59" s="113"/>
      <x:c r="O59" s="113"/>
    </x:row>
    <x:row r="60">
      <x:c r="A60" s="113"/>
      <x:c r="B60" s="113"/>
      <x:c r="C60" s="113"/>
      <x:c r="D60" s="113"/>
      <x:c r="E60" s="113"/>
      <x:c r="F60" s="113"/>
      <x:c r="G60" s="113"/>
      <x:c r="H60" s="113"/>
      <x:c r="I60" s="113"/>
      <x:c r="J60" s="113"/>
      <x:c r="K60" s="113"/>
      <x:c r="L60" s="113"/>
      <x:c r="M60" s="113"/>
      <x:c r="N60" s="113"/>
      <x:c r="O60" s="113"/>
    </x:row>
    <x:row r="61">
      <x:c r="A61" s="113"/>
      <x:c r="B61" s="113"/>
      <x:c r="C61" s="113"/>
      <x:c r="D61" s="113"/>
      <x:c r="E61" s="113"/>
      <x:c r="F61" s="113"/>
      <x:c r="G61" s="113"/>
      <x:c r="H61" s="113"/>
      <x:c r="I61" s="113"/>
      <x:c r="J61" s="113"/>
      <x:c r="K61" s="113"/>
      <x:c r="L61" s="113"/>
      <x:c r="M61" s="113"/>
      <x:c r="N61" s="113"/>
      <x:c r="O61" s="113"/>
    </x:row>
    <x:row r="62">
      <x:c r="A62" s="113"/>
      <x:c r="B62" s="113"/>
      <x:c r="C62" s="113"/>
      <x:c r="D62" s="113"/>
      <x:c r="E62" s="113"/>
      <x:c r="F62" s="113"/>
      <x:c r="G62" s="113"/>
      <x:c r="H62" s="113"/>
      <x:c r="I62" s="113"/>
      <x:c r="J62" s="113"/>
      <x:c r="K62" s="113"/>
      <x:c r="L62" s="113"/>
      <x:c r="M62" s="113"/>
      <x:c r="N62" s="113"/>
      <x:c r="O62" s="113"/>
    </x:row>
    <x:row r="63">
      <x:c r="A63" s="113"/>
      <x:c r="B63" s="113"/>
      <x:c r="C63" s="113"/>
      <x:c r="D63" s="113"/>
      <x:c r="E63" s="113"/>
      <x:c r="F63" s="113"/>
      <x:c r="G63" s="113"/>
      <x:c r="H63" s="113"/>
      <x:c r="I63" s="113"/>
      <x:c r="J63" s="113"/>
      <x:c r="K63" s="113"/>
      <x:c r="L63" s="113"/>
      <x:c r="M63" s="113"/>
      <x:c r="N63" s="113"/>
      <x:c r="O63" s="113"/>
    </x:row>
    <x:row r="64">
      <x:c r="A64" s="113"/>
      <x:c r="B64" s="113"/>
      <x:c r="C64" s="113"/>
      <x:c r="D64" s="113"/>
      <x:c r="E64" s="113"/>
      <x:c r="F64" s="113"/>
      <x:c r="G64" s="113"/>
      <x:c r="H64" s="113"/>
      <x:c r="I64" s="113"/>
      <x:c r="J64" s="113"/>
      <x:c r="K64" s="113"/>
      <x:c r="L64" s="113"/>
      <x:c r="M64" s="113"/>
      <x:c r="N64" s="113"/>
      <x:c r="O64" s="113"/>
    </x:row>
    <x:row r="65">
      <x:c r="A65" s="113"/>
      <x:c r="B65" s="113"/>
      <x:c r="C65" s="113"/>
      <x:c r="D65" s="113"/>
      <x:c r="E65" s="113"/>
      <x:c r="F65" s="113"/>
      <x:c r="G65" s="113"/>
      <x:c r="H65" s="113"/>
      <x:c r="I65" s="113"/>
      <x:c r="J65" s="113"/>
      <x:c r="K65" s="113"/>
      <x:c r="L65" s="113"/>
      <x:c r="M65" s="113"/>
      <x:c r="N65" s="113"/>
      <x:c r="O65" s="113"/>
    </x:row>
    <x:row r="66">
      <x:c r="A66" s="113"/>
      <x:c r="B66" s="113"/>
      <x:c r="C66" s="113"/>
      <x:c r="D66" s="113"/>
      <x:c r="E66" s="113"/>
      <x:c r="F66" s="113"/>
      <x:c r="G66" s="113"/>
      <x:c r="H66" s="113"/>
      <x:c r="I66" s="113"/>
      <x:c r="J66" s="113"/>
      <x:c r="K66" s="113"/>
      <x:c r="L66" s="113"/>
      <x:c r="M66" s="113"/>
      <x:c r="N66" s="113"/>
      <x:c r="O66" s="113"/>
    </x:row>
    <x:row r="67">
      <x:c r="A67" s="113"/>
      <x:c r="B67" s="113"/>
      <x:c r="C67" s="113"/>
      <x:c r="D67" s="113"/>
      <x:c r="E67" s="113"/>
      <x:c r="F67" s="113"/>
      <x:c r="G67" s="113"/>
      <x:c r="H67" s="113"/>
      <x:c r="I67" s="113"/>
      <x:c r="J67" s="113"/>
      <x:c r="K67" s="113"/>
      <x:c r="L67" s="113"/>
      <x:c r="M67" s="113"/>
      <x:c r="N67" s="113"/>
      <x:c r="O67" s="113"/>
    </x:row>
    <x:row r="68">
      <x:c r="A68" s="113"/>
      <x:c r="B68" s="113"/>
      <x:c r="C68" s="113"/>
      <x:c r="D68" s="113"/>
      <x:c r="E68" s="113"/>
      <x:c r="F68" s="113"/>
      <x:c r="G68" s="113"/>
      <x:c r="H68" s="113"/>
      <x:c r="I68" s="113"/>
      <x:c r="J68" s="113"/>
      <x:c r="K68" s="113"/>
      <x:c r="L68" s="113"/>
      <x:c r="M68" s="113"/>
      <x:c r="N68" s="113"/>
      <x:c r="O68" s="113"/>
    </x:row>
    <x:row r="69">
      <x:c r="A69" s="113"/>
      <x:c r="B69" s="113"/>
      <x:c r="C69" s="113"/>
      <x:c r="D69" s="113"/>
      <x:c r="E69" s="113"/>
      <x:c r="F69" s="113"/>
      <x:c r="G69" s="113"/>
      <x:c r="H69" s="113"/>
      <x:c r="I69" s="113"/>
      <x:c r="J69" s="113"/>
      <x:c r="K69" s="113"/>
      <x:c r="L69" s="113"/>
      <x:c r="M69" s="113"/>
      <x:c r="N69" s="113"/>
      <x:c r="O69" s="113"/>
    </x:row>
    <x:row r="70">
      <x:c r="A70" s="113"/>
      <x:c r="B70" s="113"/>
      <x:c r="C70" s="113"/>
      <x:c r="D70" s="113"/>
      <x:c r="E70" s="113"/>
      <x:c r="F70" s="113"/>
      <x:c r="G70" s="113"/>
      <x:c r="H70" s="113"/>
      <x:c r="I70" s="113"/>
      <x:c r="J70" s="113"/>
      <x:c r="K70" s="113"/>
      <x:c r="L70" s="113"/>
      <x:c r="M70" s="113"/>
      <x:c r="N70" s="113"/>
      <x:c r="O70" s="113"/>
    </x:row>
    <x:row r="71">
      <x:c r="A71" s="113"/>
      <x:c r="B71" s="113"/>
      <x:c r="C71" s="113"/>
      <x:c r="D71" s="113"/>
      <x:c r="E71" s="113"/>
      <x:c r="F71" s="113"/>
      <x:c r="G71" s="113"/>
      <x:c r="H71" s="113"/>
      <x:c r="I71" s="113"/>
      <x:c r="J71" s="113"/>
      <x:c r="K71" s="113"/>
      <x:c r="L71" s="113"/>
      <x:c r="M71" s="113"/>
      <x:c r="N71" s="113"/>
      <x:c r="O71" s="113"/>
    </x:row>
    <x:row r="72">
      <x:c r="A72" s="113"/>
      <x:c r="B72" s="113"/>
      <x:c r="C72" s="113"/>
      <x:c r="D72" s="113"/>
      <x:c r="E72" s="113"/>
      <x:c r="F72" s="113"/>
      <x:c r="G72" s="113"/>
      <x:c r="H72" s="113"/>
      <x:c r="I72" s="113"/>
      <x:c r="J72" s="113"/>
      <x:c r="K72" s="113"/>
      <x:c r="L72" s="113"/>
      <x:c r="M72" s="113"/>
      <x:c r="N72" s="113"/>
      <x:c r="O72" s="113"/>
    </x:row>
    <x:row r="73">
      <x:c r="A73" s="113"/>
      <x:c r="B73" s="113"/>
      <x:c r="C73" s="113"/>
      <x:c r="D73" s="113"/>
      <x:c r="E73" s="113"/>
      <x:c r="F73" s="113"/>
      <x:c r="G73" s="113"/>
      <x:c r="H73" s="113"/>
      <x:c r="I73" s="113"/>
      <x:c r="J73" s="113"/>
      <x:c r="K73" s="113"/>
      <x:c r="L73" s="113"/>
      <x:c r="M73" s="113"/>
      <x:c r="N73" s="113"/>
      <x:c r="O73" s="113"/>
    </x:row>
    <x:row r="74">
      <x:c r="A74" s="113"/>
      <x:c r="B74" s="113"/>
      <x:c r="C74" s="113"/>
      <x:c r="D74" s="113"/>
      <x:c r="E74" s="113"/>
      <x:c r="F74" s="113"/>
      <x:c r="G74" s="113"/>
      <x:c r="H74" s="113"/>
      <x:c r="I74" s="113"/>
      <x:c r="J74" s="113"/>
      <x:c r="K74" s="113"/>
      <x:c r="L74" s="113"/>
      <x:c r="M74" s="113"/>
      <x:c r="N74" s="113"/>
      <x:c r="O74" s="113"/>
    </x:row>
    <x:row r="75">
      <x:c r="A75" s="113"/>
      <x:c r="B75" s="113"/>
      <x:c r="C75" s="113"/>
      <x:c r="D75" s="113"/>
      <x:c r="E75" s="113"/>
      <x:c r="F75" s="113"/>
      <x:c r="G75" s="113"/>
      <x:c r="H75" s="113"/>
      <x:c r="I75" s="113"/>
      <x:c r="J75" s="113"/>
      <x:c r="K75" s="113"/>
      <x:c r="L75" s="113"/>
      <x:c r="M75" s="113"/>
      <x:c r="N75" s="113"/>
      <x:c r="O75" s="113"/>
    </x:row>
    <x:row r="76">
      <x:c r="A76" s="113"/>
      <x:c r="B76" s="113"/>
      <x:c r="C76" s="113"/>
      <x:c r="D76" s="113"/>
      <x:c r="E76" s="113"/>
      <x:c r="F76" s="113"/>
      <x:c r="G76" s="113"/>
      <x:c r="H76" s="113"/>
      <x:c r="I76" s="113"/>
      <x:c r="J76" s="113"/>
      <x:c r="K76" s="113"/>
      <x:c r="L76" s="113"/>
      <x:c r="M76" s="113"/>
      <x:c r="N76" s="113"/>
      <x:c r="O76" s="113"/>
    </x:row>
    <x:row r="77">
      <x:c r="A77" s="113"/>
      <x:c r="B77" s="113"/>
      <x:c r="C77" s="113"/>
      <x:c r="D77" s="113"/>
      <x:c r="E77" s="113"/>
      <x:c r="F77" s="113"/>
      <x:c r="G77" s="113"/>
      <x:c r="H77" s="113"/>
      <x:c r="I77" s="113"/>
      <x:c r="J77" s="113"/>
      <x:c r="K77" s="113"/>
      <x:c r="L77" s="113"/>
      <x:c r="M77" s="113"/>
      <x:c r="N77" s="113"/>
      <x:c r="O77" s="113"/>
    </x:row>
    <x:row r="78">
      <x:c r="A78" s="113"/>
      <x:c r="B78" s="113"/>
      <x:c r="C78" s="113"/>
      <x:c r="D78" s="113"/>
      <x:c r="E78" s="113"/>
      <x:c r="F78" s="113"/>
      <x:c r="G78" s="113"/>
      <x:c r="H78" s="113"/>
      <x:c r="I78" s="113"/>
      <x:c r="J78" s="113"/>
      <x:c r="K78" s="113"/>
      <x:c r="L78" s="113"/>
      <x:c r="M78" s="113"/>
      <x:c r="N78" s="113"/>
      <x:c r="O78" s="113"/>
    </x:row>
    <x:row r="79">
      <x:c r="A79" s="113"/>
      <x:c r="B79" s="113"/>
      <x:c r="C79" s="113"/>
      <x:c r="D79" s="113"/>
      <x:c r="E79" s="113"/>
      <x:c r="F79" s="113"/>
      <x:c r="G79" s="113"/>
      <x:c r="H79" s="113"/>
      <x:c r="I79" s="113"/>
      <x:c r="J79" s="113"/>
      <x:c r="K79" s="113"/>
      <x:c r="L79" s="113"/>
      <x:c r="M79" s="113"/>
      <x:c r="N79" s="113"/>
      <x:c r="O79" s="113"/>
    </x:row>
    <x:row r="80">
      <x:c r="A80" s="113"/>
      <x:c r="B80" s="113"/>
      <x:c r="C80" s="113"/>
      <x:c r="D80" s="113"/>
      <x:c r="E80" s="113"/>
      <x:c r="F80" s="113"/>
      <x:c r="G80" s="113"/>
      <x:c r="H80" s="113"/>
      <x:c r="I80" s="113"/>
      <x:c r="J80" s="113"/>
      <x:c r="K80" s="113"/>
      <x:c r="L80" s="113"/>
      <x:c r="M80" s="113"/>
      <x:c r="N80" s="113"/>
      <x:c r="O80" s="113"/>
    </x:row>
    <x:row r="81">
      <x:c r="A81" s="113"/>
      <x:c r="B81" s="113"/>
      <x:c r="C81" s="113"/>
      <x:c r="D81" s="113"/>
      <x:c r="E81" s="113"/>
      <x:c r="F81" s="113"/>
      <x:c r="G81" s="113"/>
      <x:c r="H81" s="113"/>
      <x:c r="I81" s="113"/>
      <x:c r="J81" s="113"/>
      <x:c r="K81" s="113"/>
      <x:c r="L81" s="113"/>
      <x:c r="M81" s="113"/>
      <x:c r="N81" s="113"/>
      <x:c r="O81" s="113"/>
    </x:row>
    <x:row r="82">
      <x:c r="A82" s="113"/>
      <x:c r="B82" s="113"/>
      <x:c r="C82" s="113"/>
      <x:c r="D82" s="113"/>
      <x:c r="E82" s="113"/>
      <x:c r="F82" s="113"/>
      <x:c r="G82" s="113"/>
      <x:c r="H82" s="113"/>
      <x:c r="I82" s="113"/>
      <x:c r="J82" s="113"/>
      <x:c r="K82" s="113"/>
      <x:c r="L82" s="113"/>
      <x:c r="M82" s="113"/>
      <x:c r="N82" s="113"/>
      <x:c r="O82" s="113"/>
    </x:row>
    <x:row r="83">
      <x:c r="A83" s="113"/>
      <x:c r="B83" s="113"/>
      <x:c r="C83" s="113"/>
      <x:c r="D83" s="113"/>
      <x:c r="E83" s="113"/>
      <x:c r="F83" s="113"/>
      <x:c r="G83" s="113"/>
      <x:c r="H83" s="113"/>
      <x:c r="I83" s="113"/>
      <x:c r="J83" s="113"/>
      <x:c r="K83" s="113"/>
      <x:c r="L83" s="113"/>
      <x:c r="M83" s="113"/>
      <x:c r="N83" s="113"/>
      <x:c r="O83" s="113"/>
    </x:row>
    <x:row r="84">
      <x:c r="A84" s="113"/>
      <x:c r="B84" s="113"/>
      <x:c r="C84" s="113"/>
      <x:c r="D84" s="113"/>
      <x:c r="E84" s="113"/>
      <x:c r="F84" s="113"/>
      <x:c r="G84" s="113"/>
      <x:c r="H84" s="113"/>
      <x:c r="I84" s="113"/>
      <x:c r="J84" s="113"/>
      <x:c r="K84" s="113"/>
      <x:c r="L84" s="113"/>
      <x:c r="M84" s="113"/>
      <x:c r="N84" s="113"/>
      <x:c r="O84" s="113"/>
    </x:row>
    <x:row r="85">
      <x:c r="A85" s="113"/>
      <x:c r="B85" s="113"/>
      <x:c r="C85" s="113"/>
      <x:c r="D85" s="113"/>
      <x:c r="E85" s="113"/>
      <x:c r="F85" s="113"/>
      <x:c r="G85" s="113"/>
      <x:c r="H85" s="113"/>
      <x:c r="I85" s="113"/>
      <x:c r="J85" s="113"/>
      <x:c r="K85" s="113"/>
      <x:c r="L85" s="113"/>
      <x:c r="M85" s="113"/>
      <x:c r="N85" s="113"/>
      <x:c r="O85" s="113"/>
    </x:row>
    <x:row r="86">
      <x:c r="A86" s="113"/>
      <x:c r="B86" s="113"/>
      <x:c r="C86" s="113"/>
      <x:c r="D86" s="113"/>
      <x:c r="E86" s="113"/>
      <x:c r="F86" s="113"/>
      <x:c r="G86" s="113"/>
      <x:c r="H86" s="113"/>
      <x:c r="I86" s="113"/>
      <x:c r="J86" s="113"/>
      <x:c r="K86" s="113"/>
      <x:c r="L86" s="113"/>
      <x:c r="M86" s="113"/>
      <x:c r="N86" s="113"/>
      <x:c r="O86" s="113"/>
    </x:row>
    <x:row r="87">
      <x:c r="A87" s="113"/>
      <x:c r="B87" s="113"/>
      <x:c r="C87" s="113"/>
      <x:c r="D87" s="113"/>
      <x:c r="E87" s="113"/>
      <x:c r="F87" s="113"/>
      <x:c r="G87" s="113"/>
      <x:c r="H87" s="113"/>
      <x:c r="I87" s="113"/>
      <x:c r="J87" s="113"/>
      <x:c r="K87" s="113"/>
      <x:c r="L87" s="113"/>
      <x:c r="M87" s="113"/>
      <x:c r="N87" s="113"/>
      <x:c r="O87" s="113"/>
    </x:row>
    <x:row r="88">
      <x:c r="A88" s="113"/>
      <x:c r="B88" s="113"/>
      <x:c r="C88" s="113"/>
      <x:c r="D88" s="113"/>
      <x:c r="E88" s="113"/>
      <x:c r="F88" s="113"/>
      <x:c r="G88" s="113"/>
      <x:c r="H88" s="113"/>
      <x:c r="I88" s="113"/>
      <x:c r="J88" s="113"/>
      <x:c r="K88" s="113"/>
      <x:c r="L88" s="113"/>
      <x:c r="M88" s="113"/>
      <x:c r="N88" s="113"/>
      <x:c r="O88" s="113"/>
    </x:row>
    <x:row r="89">
      <x:c r="A89" s="113"/>
      <x:c r="B89" s="113"/>
      <x:c r="C89" s="113"/>
      <x:c r="D89" s="113"/>
      <x:c r="E89" s="113"/>
      <x:c r="F89" s="113"/>
      <x:c r="G89" s="113"/>
      <x:c r="H89" s="113"/>
      <x:c r="I89" s="113"/>
      <x:c r="J89" s="113"/>
      <x:c r="K89" s="113"/>
      <x:c r="L89" s="113"/>
      <x:c r="M89" s="113"/>
      <x:c r="N89" s="113"/>
      <x:c r="O89" s="113"/>
    </x:row>
    <x:row r="90">
      <x:c r="A90" s="113"/>
      <x:c r="B90" s="113"/>
      <x:c r="C90" s="113"/>
      <x:c r="D90" s="113"/>
      <x:c r="E90" s="113"/>
      <x:c r="F90" s="113"/>
      <x:c r="G90" s="113"/>
      <x:c r="H90" s="113"/>
      <x:c r="I90" s="113"/>
      <x:c r="J90" s="113"/>
      <x:c r="K90" s="113"/>
      <x:c r="L90" s="113"/>
      <x:c r="M90" s="113"/>
      <x:c r="N90" s="113"/>
      <x:c r="O90" s="113"/>
    </x:row>
    <x:row r="91">
      <x:c r="A91" s="113"/>
      <x:c r="B91" s="113"/>
      <x:c r="C91" s="113"/>
      <x:c r="D91" s="113"/>
      <x:c r="E91" s="113"/>
      <x:c r="F91" s="113"/>
      <x:c r="G91" s="113"/>
      <x:c r="H91" s="113"/>
      <x:c r="I91" s="113"/>
      <x:c r="J91" s="113"/>
      <x:c r="K91" s="113"/>
      <x:c r="L91" s="113"/>
      <x:c r="M91" s="113"/>
      <x:c r="N91" s="113"/>
      <x:c r="O91" s="113"/>
    </x:row>
    <x:row r="92">
      <x:c r="A92" s="113"/>
      <x:c r="B92" s="113"/>
      <x:c r="C92" s="113"/>
      <x:c r="D92" s="113"/>
      <x:c r="E92" s="113"/>
      <x:c r="F92" s="113"/>
      <x:c r="G92" s="113"/>
      <x:c r="H92" s="113"/>
      <x:c r="I92" s="113"/>
      <x:c r="J92" s="113"/>
      <x:c r="K92" s="113"/>
      <x:c r="L92" s="113"/>
      <x:c r="M92" s="113"/>
      <x:c r="N92" s="113"/>
      <x:c r="O92" s="113"/>
    </x:row>
    <x:row r="93">
      <x:c r="A93" s="113"/>
      <x:c r="B93" s="113"/>
      <x:c r="C93" s="113"/>
      <x:c r="D93" s="113"/>
      <x:c r="E93" s="113"/>
      <x:c r="F93" s="113"/>
      <x:c r="G93" s="113"/>
      <x:c r="H93" s="113"/>
      <x:c r="I93" s="113"/>
      <x:c r="J93" s="113"/>
      <x:c r="K93" s="113"/>
      <x:c r="L93" s="113"/>
      <x:c r="M93" s="113"/>
      <x:c r="N93" s="113"/>
      <x:c r="O93" s="113"/>
    </x:row>
    <x:row r="94">
      <x:c r="A94" s="113"/>
      <x:c r="B94" s="113"/>
      <x:c r="C94" s="113"/>
      <x:c r="D94" s="113"/>
      <x:c r="E94" s="113"/>
      <x:c r="F94" s="113"/>
      <x:c r="G94" s="113"/>
      <x:c r="H94" s="113"/>
      <x:c r="I94" s="113"/>
      <x:c r="J94" s="113"/>
      <x:c r="K94" s="113"/>
      <x:c r="L94" s="113"/>
      <x:c r="M94" s="113"/>
      <x:c r="N94" s="113"/>
      <x:c r="O94" s="113"/>
    </x:row>
    <x:row r="95">
      <x:c r="A95" s="113"/>
      <x:c r="B95" s="113"/>
      <x:c r="C95" s="113"/>
      <x:c r="D95" s="113"/>
      <x:c r="E95" s="113"/>
      <x:c r="F95" s="113"/>
      <x:c r="G95" s="113"/>
      <x:c r="H95" s="113"/>
      <x:c r="I95" s="113"/>
      <x:c r="J95" s="113"/>
      <x:c r="K95" s="113"/>
      <x:c r="L95" s="113"/>
      <x:c r="M95" s="113"/>
      <x:c r="N95" s="113"/>
      <x:c r="O95" s="113"/>
    </x:row>
    <x:row r="96">
      <x:c r="A96" s="113"/>
      <x:c r="B96" s="113"/>
      <x:c r="C96" s="113"/>
      <x:c r="D96" s="113"/>
      <x:c r="E96" s="113"/>
      <x:c r="F96" s="113"/>
      <x:c r="G96" s="113"/>
      <x:c r="H96" s="113"/>
      <x:c r="I96" s="113"/>
      <x:c r="J96" s="113"/>
      <x:c r="K96" s="113"/>
      <x:c r="L96" s="113"/>
      <x:c r="M96" s="113"/>
      <x:c r="N96" s="113"/>
      <x:c r="O96" s="113"/>
    </x:row>
    <x:row r="97">
      <x:c r="A97" s="113"/>
      <x:c r="B97" s="113"/>
      <x:c r="C97" s="113"/>
      <x:c r="D97" s="113"/>
      <x:c r="E97" s="113"/>
      <x:c r="F97" s="113"/>
      <x:c r="G97" s="113"/>
      <x:c r="H97" s="113"/>
      <x:c r="I97" s="113"/>
      <x:c r="J97" s="113"/>
      <x:c r="K97" s="113"/>
      <x:c r="L97" s="113"/>
      <x:c r="M97" s="113"/>
      <x:c r="N97" s="113"/>
      <x:c r="O97" s="113"/>
    </x:row>
    <x:row r="98">
      <x:c r="A98" s="113"/>
      <x:c r="B98" s="113"/>
      <x:c r="C98" s="113"/>
      <x:c r="D98" s="113"/>
      <x:c r="E98" s="113"/>
      <x:c r="F98" s="113"/>
      <x:c r="G98" s="113"/>
      <x:c r="H98" s="113"/>
      <x:c r="I98" s="113"/>
      <x:c r="J98" s="113"/>
      <x:c r="K98" s="113"/>
      <x:c r="L98" s="113"/>
      <x:c r="M98" s="113"/>
      <x:c r="N98" s="113"/>
      <x:c r="O98" s="113"/>
    </x:row>
    <x:row r="99">
      <x:c r="A99" s="113"/>
      <x:c r="B99" s="113"/>
      <x:c r="C99" s="113"/>
      <x:c r="D99" s="113"/>
      <x:c r="E99" s="113"/>
      <x:c r="F99" s="113"/>
      <x:c r="G99" s="113"/>
      <x:c r="H99" s="113"/>
      <x:c r="I99" s="113"/>
      <x:c r="J99" s="113"/>
      <x:c r="K99" s="113"/>
      <x:c r="L99" s="113"/>
      <x:c r="M99" s="113"/>
      <x:c r="N99" s="113"/>
      <x:c r="O99" s="113"/>
    </x:row>
    <x:row r="100">
      <x:c r="A100" s="113"/>
      <x:c r="B100" s="113"/>
      <x:c r="C100" s="113"/>
      <x:c r="D100" s="113"/>
      <x:c r="E100" s="113"/>
      <x:c r="F100" s="113"/>
      <x:c r="G100" s="113"/>
      <x:c r="H100" s="113"/>
      <x:c r="I100" s="113"/>
      <x:c r="J100" s="113"/>
      <x:c r="K100" s="113"/>
      <x:c r="L100" s="113"/>
      <x:c r="M100" s="113"/>
      <x:c r="N100" s="113"/>
      <x:c r="O100" s="113"/>
    </x:row>
    <x:row r="101">
      <x:c r="A101" s="113"/>
      <x:c r="B101" s="113"/>
      <x:c r="C101" s="113"/>
      <x:c r="D101" s="113"/>
      <x:c r="E101" s="113"/>
      <x:c r="F101" s="113"/>
      <x:c r="G101" s="113"/>
      <x:c r="H101" s="113"/>
      <x:c r="I101" s="113"/>
      <x:c r="J101" s="113"/>
      <x:c r="K101" s="113"/>
      <x:c r="L101" s="113"/>
      <x:c r="M101" s="113"/>
      <x:c r="N101" s="113"/>
      <x:c r="O101" s="113"/>
    </x:row>
    <x:row r="102">
      <x:c r="A102" s="113"/>
      <x:c r="B102" s="113"/>
      <x:c r="C102" s="113"/>
      <x:c r="D102" s="113"/>
      <x:c r="E102" s="113"/>
      <x:c r="F102" s="113"/>
      <x:c r="G102" s="113"/>
      <x:c r="H102" s="113"/>
      <x:c r="I102" s="113"/>
      <x:c r="J102" s="113"/>
      <x:c r="K102" s="113"/>
      <x:c r="L102" s="113"/>
      <x:c r="M102" s="113"/>
      <x:c r="N102" s="113"/>
      <x:c r="O102" s="113"/>
    </x:row>
    <x:row r="103">
      <x:c r="A103" s="113"/>
      <x:c r="B103" s="113"/>
      <x:c r="C103" s="113"/>
      <x:c r="D103" s="113"/>
      <x:c r="E103" s="113"/>
      <x:c r="F103" s="113"/>
      <x:c r="G103" s="113"/>
      <x:c r="H103" s="113"/>
      <x:c r="I103" s="113"/>
      <x:c r="J103" s="113"/>
      <x:c r="K103" s="113"/>
      <x:c r="L103" s="113"/>
      <x:c r="M103" s="113"/>
      <x:c r="N103" s="113"/>
      <x:c r="O103" s="113"/>
    </x:row>
    <x:row r="104">
      <x:c r="A104" s="113"/>
      <x:c r="B104" s="113"/>
      <x:c r="C104" s="113"/>
      <x:c r="D104" s="113"/>
      <x:c r="E104" s="113"/>
      <x:c r="F104" s="113"/>
      <x:c r="G104" s="113"/>
      <x:c r="H104" s="113"/>
      <x:c r="I104" s="113"/>
      <x:c r="J104" s="113"/>
      <x:c r="K104" s="113"/>
      <x:c r="L104" s="113"/>
      <x:c r="M104" s="113"/>
      <x:c r="N104" s="113"/>
      <x:c r="O104" s="113"/>
    </x:row>
    <x:row r="105">
      <x:c r="A105" s="113"/>
      <x:c r="B105" s="113"/>
      <x:c r="C105" s="113"/>
      <x:c r="D105" s="113"/>
      <x:c r="E105" s="113"/>
      <x:c r="F105" s="113"/>
      <x:c r="G105" s="113"/>
      <x:c r="H105" s="113"/>
      <x:c r="I105" s="113"/>
      <x:c r="J105" s="113"/>
      <x:c r="K105" s="113"/>
      <x:c r="L105" s="113"/>
      <x:c r="M105" s="113"/>
      <x:c r="N105" s="113"/>
      <x:c r="O105" s="113"/>
    </x:row>
    <x:row r="106">
      <x:c r="A106" s="113"/>
      <x:c r="B106" s="113"/>
      <x:c r="C106" s="113"/>
      <x:c r="D106" s="113"/>
      <x:c r="E106" s="113"/>
      <x:c r="F106" s="113"/>
      <x:c r="G106" s="113"/>
      <x:c r="H106" s="113"/>
      <x:c r="I106" s="113"/>
      <x:c r="J106" s="113"/>
      <x:c r="K106" s="113"/>
      <x:c r="L106" s="113"/>
      <x:c r="M106" s="113"/>
      <x:c r="N106" s="113"/>
      <x:c r="O106" s="113"/>
    </x:row>
    <x:row r="107">
      <x:c r="A107" s="113"/>
      <x:c r="B107" s="113"/>
      <x:c r="C107" s="113"/>
      <x:c r="D107" s="113"/>
      <x:c r="E107" s="113"/>
      <x:c r="F107" s="113"/>
      <x:c r="G107" s="113"/>
      <x:c r="H107" s="113"/>
      <x:c r="I107" s="113"/>
      <x:c r="J107" s="113"/>
      <x:c r="K107" s="113"/>
      <x:c r="L107" s="113"/>
      <x:c r="M107" s="113"/>
      <x:c r="N107" s="113"/>
      <x:c r="O107" s="113"/>
    </x:row>
    <x:row r="108">
      <x:c r="A108" s="113"/>
      <x:c r="B108" s="113"/>
      <x:c r="C108" s="113"/>
      <x:c r="D108" s="113"/>
      <x:c r="E108" s="113"/>
      <x:c r="F108" s="113"/>
      <x:c r="G108" s="113"/>
      <x:c r="H108" s="113"/>
      <x:c r="I108" s="113"/>
      <x:c r="J108" s="113"/>
      <x:c r="K108" s="113"/>
      <x:c r="L108" s="113"/>
      <x:c r="M108" s="113"/>
      <x:c r="N108" s="113"/>
      <x:c r="O108" s="113"/>
    </x:row>
    <x:row r="109">
      <x:c r="A109" s="113"/>
      <x:c r="B109" s="113"/>
      <x:c r="C109" s="113"/>
      <x:c r="D109" s="113"/>
      <x:c r="E109" s="113"/>
      <x:c r="F109" s="113"/>
      <x:c r="G109" s="113"/>
      <x:c r="H109" s="113"/>
      <x:c r="I109" s="113"/>
      <x:c r="J109" s="113"/>
      <x:c r="K109" s="113"/>
      <x:c r="L109" s="113"/>
      <x:c r="M109" s="113"/>
      <x:c r="N109" s="113"/>
      <x:c r="O109" s="113"/>
    </x:row>
    <x:row r="110">
      <x:c r="A110" s="113"/>
      <x:c r="B110" s="113"/>
      <x:c r="C110" s="113"/>
      <x:c r="D110" s="113"/>
      <x:c r="E110" s="113"/>
      <x:c r="F110" s="113"/>
      <x:c r="G110" s="113"/>
      <x:c r="H110" s="113"/>
      <x:c r="I110" s="113"/>
      <x:c r="J110" s="113"/>
      <x:c r="K110" s="113"/>
      <x:c r="L110" s="113"/>
      <x:c r="M110" s="113"/>
      <x:c r="N110" s="113"/>
      <x:c r="O110" s="113"/>
    </x:row>
    <x:row r="111">
      <x:c r="A111" s="113"/>
      <x:c r="B111" s="113"/>
      <x:c r="C111" s="113"/>
      <x:c r="D111" s="113"/>
      <x:c r="E111" s="113"/>
      <x:c r="F111" s="113"/>
      <x:c r="G111" s="113"/>
      <x:c r="H111" s="113"/>
      <x:c r="I111" s="113"/>
      <x:c r="J111" s="113"/>
      <x:c r="K111" s="113"/>
      <x:c r="L111" s="113"/>
      <x:c r="M111" s="113"/>
      <x:c r="N111" s="113"/>
      <x:c r="O111" s="113"/>
    </x:row>
    <x:row r="112">
      <x:c r="A112" s="113"/>
      <x:c r="B112" s="113"/>
      <x:c r="C112" s="113"/>
      <x:c r="D112" s="113"/>
      <x:c r="E112" s="113"/>
      <x:c r="F112" s="113"/>
      <x:c r="G112" s="113"/>
      <x:c r="H112" s="113"/>
      <x:c r="I112" s="113"/>
      <x:c r="J112" s="113"/>
      <x:c r="K112" s="113"/>
      <x:c r="L112" s="113"/>
      <x:c r="M112" s="113"/>
      <x:c r="N112" s="113"/>
      <x:c r="O112" s="113"/>
    </x:row>
    <x:row r="113">
      <x:c r="A113" s="113"/>
      <x:c r="B113" s="113"/>
      <x:c r="C113" s="113"/>
      <x:c r="D113" s="113"/>
      <x:c r="E113" s="113"/>
      <x:c r="F113" s="113"/>
      <x:c r="G113" s="113"/>
      <x:c r="H113" s="113"/>
      <x:c r="I113" s="113"/>
      <x:c r="J113" s="113"/>
      <x:c r="K113" s="113"/>
      <x:c r="L113" s="113"/>
      <x:c r="M113" s="113"/>
      <x:c r="N113" s="113"/>
      <x:c r="O113" s="113"/>
    </x:row>
    <x:row r="114">
      <x:c r="A114" s="113"/>
      <x:c r="B114" s="113"/>
      <x:c r="C114" s="113"/>
      <x:c r="D114" s="113"/>
      <x:c r="E114" s="113"/>
      <x:c r="F114" s="113"/>
      <x:c r="G114" s="113"/>
      <x:c r="H114" s="113"/>
      <x:c r="I114" s="113"/>
      <x:c r="J114" s="113"/>
      <x:c r="K114" s="113"/>
      <x:c r="L114" s="113"/>
      <x:c r="M114" s="113"/>
      <x:c r="N114" s="113"/>
      <x:c r="O114" s="113"/>
    </x:row>
    <x:row r="115">
      <x:c r="A115" s="113"/>
      <x:c r="B115" s="113"/>
      <x:c r="C115" s="113"/>
      <x:c r="D115" s="113"/>
      <x:c r="E115" s="113"/>
      <x:c r="F115" s="113"/>
      <x:c r="G115" s="113"/>
      <x:c r="H115" s="113"/>
      <x:c r="I115" s="113"/>
      <x:c r="J115" s="113"/>
      <x:c r="K115" s="113"/>
      <x:c r="L115" s="113"/>
      <x:c r="M115" s="113"/>
      <x:c r="N115" s="113"/>
      <x:c r="O115" s="113"/>
    </x:row>
    <x:row r="116">
      <x:c r="A116" s="113"/>
      <x:c r="B116" s="113"/>
      <x:c r="C116" s="113"/>
      <x:c r="D116" s="113"/>
      <x:c r="E116" s="113"/>
      <x:c r="F116" s="113"/>
      <x:c r="G116" s="113"/>
      <x:c r="H116" s="113"/>
      <x:c r="I116" s="113"/>
      <x:c r="J116" s="113"/>
      <x:c r="K116" s="113"/>
      <x:c r="L116" s="113"/>
      <x:c r="M116" s="113"/>
      <x:c r="N116" s="113"/>
      <x:c r="O116" s="113"/>
    </x:row>
    <x:row r="117">
      <x:c r="A117" s="113"/>
      <x:c r="B117" s="113"/>
      <x:c r="C117" s="113"/>
      <x:c r="D117" s="113"/>
      <x:c r="E117" s="113"/>
      <x:c r="F117" s="113"/>
      <x:c r="G117" s="113"/>
      <x:c r="H117" s="113"/>
      <x:c r="I117" s="113"/>
      <x:c r="J117" s="113"/>
      <x:c r="K117" s="113"/>
      <x:c r="L117" s="113"/>
      <x:c r="M117" s="113"/>
      <x:c r="N117" s="113"/>
      <x:c r="O117" s="113"/>
    </x:row>
    <x:row r="118">
      <x:c r="A118" s="113"/>
      <x:c r="B118" s="113"/>
      <x:c r="C118" s="113"/>
      <x:c r="D118" s="113"/>
      <x:c r="E118" s="113"/>
      <x:c r="F118" s="113"/>
      <x:c r="G118" s="113"/>
      <x:c r="H118" s="113"/>
      <x:c r="I118" s="113"/>
      <x:c r="J118" s="113"/>
      <x:c r="K118" s="113"/>
      <x:c r="L118" s="113"/>
      <x:c r="M118" s="113"/>
      <x:c r="N118" s="113"/>
      <x:c r="O118" s="113"/>
    </x:row>
    <x:row r="119">
      <x:c r="A119" s="113"/>
      <x:c r="B119" s="113"/>
      <x:c r="C119" s="113"/>
      <x:c r="D119" s="113"/>
      <x:c r="E119" s="113"/>
      <x:c r="F119" s="113"/>
      <x:c r="G119" s="113"/>
      <x:c r="H119" s="113"/>
      <x:c r="I119" s="113"/>
      <x:c r="J119" s="113"/>
      <x:c r="K119" s="113"/>
      <x:c r="L119" s="113"/>
      <x:c r="M119" s="113"/>
      <x:c r="N119" s="113"/>
      <x:c r="O119" s="113"/>
    </x:row>
    <x:row r="120">
      <x:c r="A120" s="113"/>
      <x:c r="B120" s="113"/>
      <x:c r="C120" s="113"/>
      <x:c r="D120" s="113"/>
      <x:c r="E120" s="113"/>
      <x:c r="F120" s="113"/>
      <x:c r="G120" s="113"/>
      <x:c r="H120" s="113"/>
      <x:c r="I120" s="113"/>
      <x:c r="J120" s="113"/>
      <x:c r="K120" s="113"/>
      <x:c r="L120" s="113"/>
      <x:c r="M120" s="113"/>
      <x:c r="N120" s="113"/>
      <x:c r="O120" s="113"/>
    </x:row>
  </x:sheetData>
  <x:mergeCells>
    <x:mergeCell ref="A1:L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3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16" hidden="0" customWidth="1"/>
    <x:col min="9" max="9" width="48" hidden="0" customWidth="1"/>
  </x:cols>
  <x:sheetData>
    <x:row r="1" ht="28" customHeight="1">
      <x:c r="A1" s="77" t="str">
        <x:v>建设失败案例、根因、预警信号与规避措施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113"/>
      <x:c r="N1" s="113"/>
      <x:c r="O1" s="113"/>
    </x:row>
    <x:row r="2">
      <x:c r="A2" s="113"/>
      <x:c r="B2" s="113"/>
      <x:c r="C2" s="113"/>
      <x:c r="D2" s="113"/>
      <x:c r="E2" s="113"/>
      <x:c r="F2" s="113"/>
      <x:c r="G2" s="113"/>
      <x:c r="H2" s="113"/>
      <x:c r="I2" s="113"/>
      <x:c r="J2" s="113"/>
      <x:c r="K2" s="113"/>
      <x:c r="L2" s="113"/>
      <x:c r="M2" s="113"/>
      <x:c r="N2" s="113"/>
      <x:c r="O2" s="113"/>
    </x:row>
    <x:row r="3">
      <x:c r="A3" s="113"/>
      <x:c r="B3" s="113"/>
      <x:c r="C3" s="113"/>
      <x:c r="D3" s="113"/>
      <x:c r="E3" s="113"/>
      <x:c r="F3" s="113"/>
      <x:c r="G3" s="113"/>
      <x:c r="H3" s="113"/>
      <x:c r="I3" s="113"/>
      <x:c r="J3" s="113"/>
      <x:c r="K3" s="113"/>
      <x:c r="L3" s="113"/>
      <x:c r="M3" s="113"/>
      <x:c r="N3" s="113"/>
      <x:c r="O3" s="113"/>
    </x:row>
    <x:row r="4">
      <x:c r="A4" s="80" t="str">
        <x:v>案例类型</x:v>
      </x:c>
      <x:c r="B4" s="81" t="str">
        <x:v>案例/来源</x:v>
      </x:c>
      <x:c r="C4" s="81" t="str">
        <x:v>表现</x:v>
      </x:c>
      <x:c r="D4" s="81" t="str">
        <x:v>根因</x:v>
      </x:c>
      <x:c r="E4" s="81" t="str">
        <x:v>预警信号</x:v>
      </x:c>
      <x:c r="F4" s="81" t="str">
        <x:v>本项目规避措施</x:v>
      </x:c>
      <x:c r="G4" s="81" t="str">
        <x:v>责任关口</x:v>
      </x:c>
      <x:c r="H4" s="81" t="str">
        <x:v>是否纳入验收</x:v>
      </x:c>
      <x:c r="I4" s="82" t="str">
        <x:v>来源URL/说明</x:v>
      </x:c>
      <x:c r="J4" s="113"/>
      <x:c r="K4" s="113"/>
      <x:c r="L4" s="113"/>
      <x:c r="M4" s="113"/>
      <x:c r="N4" s="113"/>
      <x:c r="O4" s="113"/>
    </x:row>
    <x:row r="5">
      <x:c r="A5" s="115" t="str">
        <x:v>超大范围集中式IT计划</x:v>
      </x:c>
      <x:c r="B5" s="116" t="str">
        <x:v>英国NHS NPfIT（NAO）</x:v>
      </x:c>
      <x:c r="C5" s="116" t="str">
        <x:v>系统交付远低于预期、临床能力不足、范围缩减但成本未同比下降</x:v>
      </x:c>
      <x:c r="D5" s="116" t="str">
        <x:v>低估规模与复杂度；强中心化替换；本地适配和收益验证不足</x:v>
      </x:c>
      <x:c r="E5" s="116" t="str">
        <x:v>里程碑反复延迟；只交付管理功能；基层采用率低</x:v>
      </x:c>
      <x:c r="F5" s="116" t="str">
        <x:v>分阶段双试点；保留源系统共存；每阶段按业务收益与退出门槛验收</x:v>
      </x:c>
      <x:c r="G5" s="116" t="str">
        <x:v>治理委员会/PMO</x:v>
      </x:c>
      <x:c r="H5" s="116" t="str">
        <x:v>是</x:v>
      </x:c>
      <x:c r="I5" s="119" t="str">
        <x:v>https://www.nao.org.uk/reports/the-national-programme-for-it-in-the-nhs-an-update-on-the-delivery-of-detailed-care-records-systems/</x:v>
      </x:c>
      <x:c r="J5" s="113"/>
      <x:c r="K5" s="113"/>
      <x:c r="L5" s="113"/>
      <x:c r="M5" s="113"/>
      <x:c r="N5" s="113"/>
      <x:c r="O5" s="113"/>
    </x:row>
    <x:row r="6">
      <x:c r="A6" s="115" t="str">
        <x:v>大爆炸上线与临床工作流冲击</x:v>
      </x:c>
      <x:c r="B6" s="116" t="str">
        <x:v>大型医院EHR上线综合教训</x:v>
      </x:c>
      <x:c r="C6" s="116" t="str">
        <x:v>上线后效率下降、结果匹配/接口问题、人员压力和运营指标恶化</x:v>
      </x:c>
      <x:c r="D6" s="116" t="str">
        <x:v>培训不足、数据迁移与接口联测不充分、上线支持和降级不足</x:v>
      </x:c>
      <x:c r="E6" s="116" t="str">
        <x:v>UAT覆盖低；临床场景未走通；高峰期仍大量手工补录</x:v>
      </x:c>
      <x:c r="F6" s="116" t="str">
        <x:v>影子运行/双查双发/灰度；临床安全官签字；超时降级；强化现场支持</x:v>
      </x:c>
      <x:c r="G6" s="116" t="str">
        <x:v>临床安全/项目经理</x:v>
      </x:c>
      <x:c r="H6" s="116" t="str">
        <x:v>是</x:v>
      </x:c>
      <x:c r="I6" s="119" t="str">
        <x:v>作为公开医院EHR案例的综合复盘，不以单一厂商定性</x:v>
      </x:c>
      <x:c r="J6" s="113"/>
      <x:c r="K6" s="113"/>
      <x:c r="L6" s="113"/>
      <x:c r="M6" s="113"/>
      <x:c r="N6" s="113"/>
      <x:c r="O6" s="113"/>
    </x:row>
    <x:row r="7">
      <x:c r="A7" s="115" t="str">
        <x:v>隐私与合法性不足</x:v>
      </x:c>
      <x:c r="B7" s="116" t="str">
        <x:v>Royal Free/DeepMind（ICO）</x:v>
      </x:c>
      <x:c r="C7" s="116" t="str">
        <x:v>创新项目使用患者数据时透明度、合法基础和最小必要受到质疑</x:v>
      </x:c>
      <x:c r="D7" s="116" t="str">
        <x:v>把创新目标置于隐私评估之前；告知、合同和用途边界不足</x:v>
      </x:c>
      <x:c r="E7" s="116" t="str">
        <x:v>未做PIPIA；数据范围远大于场景；患者无法理解用途</x:v>
      </x:c>
      <x:c r="F7" s="116" t="str">
        <x:v>PIPIA前置；用途+字段+时间窗授权；科研沙箱；合同和退出条款</x:v>
      </x:c>
      <x:c r="G7" s="116" t="str">
        <x:v>数据安全/伦理</x:v>
      </x:c>
      <x:c r="H7" s="116" t="str">
        <x:v>是</x:v>
      </x:c>
      <x:c r="I7" s="119" t="str">
        <x:v>https://ico.org.uk/about-the-ico/media-centre/news-and-blogs/2017/07/royal-free-google-deepmind-trial-failed-to-comply-with-data-protection-law/</x:v>
      </x:c>
      <x:c r="J7" s="113"/>
      <x:c r="K7" s="113"/>
      <x:c r="L7" s="113"/>
      <x:c r="M7" s="113"/>
      <x:c r="N7" s="113"/>
      <x:c r="O7" s="113"/>
    </x:row>
    <x:row r="8">
      <x:c r="A8" s="115" t="str">
        <x:v>EMPI误合并</x:v>
      </x:c>
      <x:c r="B8" s="116" t="str">
        <x:v>行业综合案例</x:v>
      </x:c>
      <x:c r="C8" s="116" t="str">
        <x:v>不同患者被错误合并，诊疗、检验、处方和账务串档</x:v>
      </x:c>
      <x:c r="D8" s="116" t="str">
        <x:v>追求自动合并率；阈值未经真实样本验证；无人工灰区与回滚</x:v>
      </x:c>
      <x:c r="E8" s="116" t="str">
        <x:v>自动合并比例突然升高；投诉/串档；证件冲突仍合并</x:v>
      </x:c>
      <x:c r="F8" s="116" t="str">
        <x:v>高低双阈值；严重冲突永不自动合并；四眼复核；合并前后快照与回滚</x:v>
      </x:c>
      <x:c r="G8" s="116" t="str">
        <x:v>医务/病案/EMPI组</x:v>
      </x:c>
      <x:c r="H8" s="116" t="str">
        <x:v>是</x:v>
      </x:c>
      <x:c r="I8" s="119" t="str">
        <x:v>综合实施反模式</x:v>
      </x:c>
      <x:c r="J8" s="113"/>
      <x:c r="K8" s="113"/>
      <x:c r="L8" s="113"/>
      <x:c r="M8" s="113"/>
      <x:c r="N8" s="113"/>
      <x:c r="O8" s="113"/>
    </x:row>
    <x:row r="9">
      <x:c r="A9" s="115" t="str">
        <x:v>MDM退化为字典搬运</x:v>
      </x:c>
      <x:c r="B9" s="116" t="str">
        <x:v>国内医院综合案例</x:v>
      </x:c>
      <x:c r="C9" s="116" t="str">
        <x:v>平台只展示Excel字典，业务系统仍各自维护，半年后再次不一致</x:v>
      </x:c>
      <x:c r="D9" s="116" t="str">
        <x:v>没有Owner、发布权和接入合同；无生命周期/版本/订阅</x:v>
      </x:c>
      <x:c r="E9" s="116" t="str">
        <x:v>新增系统继续自建字典；变更通过微信群/SQL处理</x:v>
      </x:c>
      <x:c r="F9" s="116" t="str">
        <x:v>统一发布口；新系统验收强制MDM接口；私有维护入口退役</x:v>
      </x:c>
      <x:c r="G9" s="116" t="str">
        <x:v>治理办公室/采购</x:v>
      </x:c>
      <x:c r="H9" s="116" t="str">
        <x:v>是</x:v>
      </x:c>
      <x:c r="I9" s="119" t="str">
        <x:v>结合附件当前参考数据基础的重点风险</x:v>
      </x:c>
      <x:c r="J9" s="113"/>
      <x:c r="K9" s="113"/>
      <x:c r="L9" s="113"/>
      <x:c r="M9" s="113"/>
      <x:c r="N9" s="113"/>
      <x:c r="O9" s="113"/>
    </x:row>
    <x:row r="10">
      <x:c r="A10" s="115" t="str">
        <x:v>CDC压垮源库</x:v>
      </x:c>
      <x:c r="B10" s="116" t="str">
        <x:v>综合案例</x:v>
      </x:c>
      <x:c r="C10" s="116" t="str">
        <x:v>日志增长、归档阻塞、锁等待或源库性能下降</x:v>
      </x:c>
      <x:c r="D10" s="116" t="str">
        <x:v>未评估日志模式、LOB、DDL和初始快照；回灌与在线流量混跑</x:v>
      </x:c>
      <x:c r="E10" s="116" t="str">
        <x:v>redo/binlog暴增；复制位点落后；业务库IO升高</x:v>
      </x:c>
      <x:c r="F10" s="116" t="str">
        <x:v>厂商与DBA联合PoC；限速；离峰快照；专用账号；可一键停采</x:v>
      </x:c>
      <x:c r="G10" s="116" t="str">
        <x:v>DBA/集成组</x:v>
      </x:c>
      <x:c r="H10" s="116" t="str">
        <x:v>是</x:v>
      </x:c>
      <x:c r="I10" s="119" t="str">
        <x:v>综合实施反模式</x:v>
      </x:c>
      <x:c r="J10" s="113"/>
      <x:c r="K10" s="113"/>
      <x:c r="L10" s="113"/>
      <x:c r="M10" s="113"/>
      <x:c r="N10" s="113"/>
      <x:c r="O10" s="113"/>
    </x:row>
    <x:row r="11">
      <x:c r="A11" s="115" t="str">
        <x:v>Kafka有连接无治理</x:v>
      </x:c>
      <x:c r="B11" s="116" t="str">
        <x:v>综合案例</x:v>
      </x:c>
      <x:c r="C11" s="116" t="str">
        <x:v>消息积压、重复副作用、Schema变化导致消费者失败</x:v>
      </x:c>
      <x:c r="D11" s="116" t="str">
        <x:v>无Topic目录、Schema兼容、幂等、DLQ和消费SLA</x:v>
      </x:c>
      <x:c r="E11" s="116" t="str">
        <x:v>消费组Lag长期上升；DLQ无人；同一事件多次改变业务</x:v>
      </x:c>
      <x:c r="F11" s="116" t="str">
        <x:v>Schema Registry；eventId幂等；DLQ工单；订阅方责任人和SLO</x:v>
      </x:c>
      <x:c r="G11" s="116" t="str">
        <x:v>事件平台</x:v>
      </x:c>
      <x:c r="H11" s="116" t="str">
        <x:v>是</x:v>
      </x:c>
      <x:c r="I11" s="119" t="str">
        <x:v>结合院内既有消息堆积运维经验</x:v>
      </x:c>
      <x:c r="J11" s="113"/>
      <x:c r="K11" s="113"/>
      <x:c r="L11" s="113"/>
      <x:c r="M11" s="113"/>
      <x:c r="N11" s="113"/>
      <x:c r="O11" s="113"/>
    </x:row>
    <x:row r="12">
      <x:c r="A12" s="115" t="str">
        <x:v>所有状态组件共用小K8s</x:v>
      </x:c>
      <x:c r="B12" s="116" t="str">
        <x:v>综合案例</x:v>
      </x:c>
      <x:c r="C12" s="116" t="str">
        <x:v>节点/存储故障导致Kafka、数据库、目录、审计同时不可用</x:v>
      </x:c>
      <x:c r="D12" s="116" t="str">
        <x:v>为省服务器形成共同故障域；缺少容量和IO隔离</x:v>
      </x:c>
      <x:c r="E12" s="116" t="str">
        <x:v>节点磁盘长期&gt;80%；Eviction；维护一次全平台抖动</x:v>
      </x:c>
      <x:c r="F12" s="116" t="str">
        <x:v>关键状态组件独立资源池；拓扑分散；PDB；压测和容量红线</x:v>
      </x:c>
      <x:c r="G12" s="116" t="str">
        <x:v>基础设施/SRE</x:v>
      </x:c>
      <x:c r="H12" s="116" t="str">
        <x:v>是</x:v>
      </x:c>
      <x:c r="I12" s="119" t="str">
        <x:v>综合实施反模式</x:v>
      </x:c>
      <x:c r="J12" s="113"/>
      <x:c r="K12" s="113"/>
      <x:c r="L12" s="113"/>
      <x:c r="M12" s="113"/>
      <x:c r="N12" s="113"/>
      <x:c r="O12" s="113"/>
    </x:row>
    <x:row r="13">
      <x:c r="A13" s="115" t="str">
        <x:v>元数据目录成为墓地</x:v>
      </x:c>
      <x:c r="B13" s="116" t="str">
        <x:v>综合案例</x:v>
      </x:c>
      <x:c r="C13" s="116" t="str">
        <x:v>资产很多但无Owner、无描述、无人使用</x:v>
      </x:c>
      <x:c r="D13" s="116" t="str">
        <x:v>先全量采集后治理；把连接器数量当成成果</x:v>
      </x:c>
      <x:c r="E13" s="116" t="str">
        <x:v>Owner空缺；搜索后无法申请；血缘大量错误</x:v>
      </x:c>
      <x:c r="F13" s="116" t="str">
        <x:v>核心域先行；Owner必填；使用率KPI；人工与自动血缘分级</x:v>
      </x:c>
      <x:c r="G13" s="116" t="str">
        <x:v>治理办公室</x:v>
      </x:c>
      <x:c r="H13" s="116" t="str">
        <x:v>是</x:v>
      </x:c>
      <x:c r="I13" s="119" t="str">
        <x:v>综合实施反模式</x:v>
      </x:c>
      <x:c r="J13" s="113"/>
      <x:c r="K13" s="113"/>
      <x:c r="L13" s="113"/>
      <x:c r="M13" s="113"/>
      <x:c r="N13" s="113"/>
      <x:c r="O13" s="113"/>
    </x:row>
    <x:row r="14">
      <x:c r="A14" s="121" t="str">
        <x:v>灾备只有备份没有恢复</x:v>
      </x:c>
      <x:c r="B14" s="123" t="str">
        <x:v>综合案例</x:v>
      </x:c>
      <x:c r="C14" s="123" t="str">
        <x:v>发生故障才发现备份不可用、密钥缺失或恢复超RTO</x:v>
      </x:c>
      <x:c r="D14" s="123" t="str">
        <x:v>只看备份任务成功；未演练应用、DNS、证书、第三方依赖</x:v>
      </x:c>
      <x:c r="E14" s="123" t="str">
        <x:v>多年无全链路演练；恢复时间未知；文档无责任人</x:v>
      </x:c>
      <x:c r="F14" s="123" t="str">
        <x:v>季度恢复与年度全中心切换；3-2-1-1-0；验收以恢复证据为准</x:v>
      </x:c>
      <x:c r="G14" s="123" t="str">
        <x:v>SRE/安全/业务Owner</x:v>
      </x:c>
      <x:c r="H14" s="123" t="str">
        <x:v>是</x:v>
      </x:c>
      <x:c r="I14" s="124" t="str">
        <x:v>综合实施反模式</x:v>
      </x:c>
      <x:c r="J14" s="113"/>
      <x:c r="K14" s="113"/>
      <x:c r="L14" s="113"/>
      <x:c r="M14" s="113"/>
      <x:c r="N14" s="113"/>
      <x:c r="O14" s="113"/>
    </x:row>
    <x:row r="15">
      <x:c r="A15" s="113"/>
      <x:c r="B15" s="113"/>
      <x:c r="C15" s="113"/>
      <x:c r="D15" s="113"/>
      <x:c r="E15" s="113"/>
      <x:c r="F15" s="113"/>
      <x:c r="G15" s="113"/>
      <x:c r="H15" s="113"/>
      <x:c r="I15" s="113"/>
      <x:c r="J15" s="113"/>
      <x:c r="K15" s="113"/>
      <x:c r="L15" s="113"/>
      <x:c r="M15" s="113"/>
      <x:c r="N15" s="113"/>
      <x:c r="O15" s="113"/>
    </x:row>
    <x:row r="16">
      <x:c r="A16" s="113"/>
      <x:c r="B16" s="113"/>
      <x:c r="C16" s="113"/>
      <x:c r="D16" s="113"/>
      <x:c r="E16" s="113"/>
      <x:c r="F16" s="113"/>
      <x:c r="G16" s="113"/>
      <x:c r="H16" s="113"/>
      <x:c r="I16" s="113"/>
      <x:c r="J16" s="113"/>
      <x:c r="K16" s="113"/>
      <x:c r="L16" s="113"/>
      <x:c r="M16" s="113"/>
      <x:c r="N16" s="113"/>
      <x:c r="O16" s="113"/>
    </x:row>
    <x:row r="17">
      <x:c r="A17" s="113"/>
      <x:c r="B17" s="113"/>
      <x:c r="C17" s="113"/>
      <x:c r="D17" s="113"/>
      <x:c r="E17" s="113"/>
      <x:c r="F17" s="113"/>
      <x:c r="G17" s="113"/>
      <x:c r="H17" s="113"/>
      <x:c r="I17" s="113"/>
      <x:c r="J17" s="113"/>
      <x:c r="K17" s="113"/>
      <x:c r="L17" s="113"/>
      <x:c r="M17" s="113"/>
      <x:c r="N17" s="113"/>
      <x:c r="O17" s="113"/>
    </x:row>
    <x:row r="18">
      <x:c r="A18" s="113"/>
      <x:c r="B18" s="113"/>
      <x:c r="C18" s="113"/>
      <x:c r="D18" s="113"/>
      <x:c r="E18" s="113"/>
      <x:c r="F18" s="113"/>
      <x:c r="G18" s="113"/>
      <x:c r="H18" s="113"/>
      <x:c r="I18" s="113"/>
      <x:c r="J18" s="113"/>
      <x:c r="K18" s="113"/>
      <x:c r="L18" s="113"/>
      <x:c r="M18" s="113"/>
      <x:c r="N18" s="113"/>
      <x:c r="O18" s="113"/>
    </x:row>
    <x:row r="19">
      <x:c r="A19" s="113"/>
      <x:c r="B19" s="113"/>
      <x:c r="C19" s="113"/>
      <x:c r="D19" s="113"/>
      <x:c r="E19" s="113"/>
      <x:c r="F19" s="113"/>
      <x:c r="G19" s="113"/>
      <x:c r="H19" s="113"/>
      <x:c r="I19" s="113"/>
      <x:c r="J19" s="113"/>
      <x:c r="K19" s="113"/>
      <x:c r="L19" s="113"/>
      <x:c r="M19" s="113"/>
      <x:c r="N19" s="113"/>
      <x:c r="O19" s="113"/>
    </x:row>
    <x:row r="20">
      <x:c r="A20" s="113"/>
      <x:c r="B20" s="113"/>
      <x:c r="C20" s="113"/>
      <x:c r="D20" s="113"/>
      <x:c r="E20" s="113"/>
      <x:c r="F20" s="113"/>
      <x:c r="G20" s="113"/>
      <x:c r="H20" s="113"/>
      <x:c r="I20" s="113"/>
      <x:c r="J20" s="113"/>
      <x:c r="K20" s="113"/>
      <x:c r="L20" s="113"/>
      <x:c r="M20" s="113"/>
      <x:c r="N20" s="113"/>
      <x:c r="O20" s="113"/>
    </x:row>
    <x:row r="21">
      <x:c r="A21" s="113"/>
      <x:c r="B21" s="113"/>
      <x:c r="C21" s="113"/>
      <x:c r="D21" s="113"/>
      <x:c r="E21" s="113"/>
      <x:c r="F21" s="113"/>
      <x:c r="G21" s="113"/>
      <x:c r="H21" s="113"/>
      <x:c r="I21" s="113"/>
      <x:c r="J21" s="113"/>
      <x:c r="K21" s="113"/>
      <x:c r="L21" s="113"/>
      <x:c r="M21" s="113"/>
      <x:c r="N21" s="113"/>
      <x:c r="O21" s="113"/>
    </x:row>
    <x:row r="22">
      <x:c r="A22" s="113"/>
      <x:c r="B22" s="113"/>
      <x:c r="C22" s="113"/>
      <x:c r="D22" s="113"/>
      <x:c r="E22" s="113"/>
      <x:c r="F22" s="113"/>
      <x:c r="G22" s="113"/>
      <x:c r="H22" s="113"/>
      <x:c r="I22" s="113"/>
      <x:c r="J22" s="113"/>
      <x:c r="K22" s="113"/>
      <x:c r="L22" s="113"/>
      <x:c r="M22" s="113"/>
      <x:c r="N22" s="113"/>
      <x:c r="O22" s="113"/>
    </x:row>
    <x:row r="23">
      <x:c r="A23" s="113"/>
      <x:c r="B23" s="113"/>
      <x:c r="C23" s="113"/>
      <x:c r="D23" s="113"/>
      <x:c r="E23" s="113"/>
      <x:c r="F23" s="113"/>
      <x:c r="G23" s="113"/>
      <x:c r="H23" s="113"/>
      <x:c r="I23" s="113"/>
      <x:c r="J23" s="113"/>
      <x:c r="K23" s="113"/>
      <x:c r="L23" s="113"/>
      <x:c r="M23" s="113"/>
      <x:c r="N23" s="113"/>
      <x:c r="O23" s="113"/>
    </x:row>
    <x:row r="24">
      <x:c r="A24" s="113"/>
      <x:c r="B24" s="113"/>
      <x:c r="C24" s="113"/>
      <x:c r="D24" s="113"/>
      <x:c r="E24" s="113"/>
      <x:c r="F24" s="113"/>
      <x:c r="G24" s="113"/>
      <x:c r="H24" s="113"/>
      <x:c r="I24" s="113"/>
      <x:c r="J24" s="113"/>
      <x:c r="K24" s="113"/>
      <x:c r="L24" s="113"/>
      <x:c r="M24" s="113"/>
      <x:c r="N24" s="113"/>
      <x:c r="O24" s="113"/>
    </x:row>
    <x:row r="25">
      <x:c r="A25" s="113"/>
      <x:c r="B25" s="113"/>
      <x:c r="C25" s="113"/>
      <x:c r="D25" s="113"/>
      <x:c r="E25" s="113"/>
      <x:c r="F25" s="113"/>
      <x:c r="G25" s="113"/>
      <x:c r="H25" s="113"/>
      <x:c r="I25" s="113"/>
      <x:c r="J25" s="113"/>
      <x:c r="K25" s="113"/>
      <x:c r="L25" s="113"/>
      <x:c r="M25" s="113"/>
      <x:c r="N25" s="113"/>
      <x:c r="O25" s="113"/>
    </x:row>
    <x:row r="26">
      <x:c r="A26" s="113"/>
      <x:c r="B26" s="113"/>
      <x:c r="C26" s="113"/>
      <x:c r="D26" s="113"/>
      <x:c r="E26" s="113"/>
      <x:c r="F26" s="113"/>
      <x:c r="G26" s="113"/>
      <x:c r="H26" s="113"/>
      <x:c r="I26" s="113"/>
      <x:c r="J26" s="113"/>
      <x:c r="K26" s="113"/>
      <x:c r="L26" s="113"/>
      <x:c r="M26" s="113"/>
      <x:c r="N26" s="113"/>
      <x:c r="O26" s="113"/>
    </x:row>
    <x:row r="27">
      <x:c r="A27" s="113"/>
      <x:c r="B27" s="113"/>
      <x:c r="C27" s="113"/>
      <x:c r="D27" s="113"/>
      <x:c r="E27" s="113"/>
      <x:c r="F27" s="113"/>
      <x:c r="G27" s="113"/>
      <x:c r="H27" s="113"/>
      <x:c r="I27" s="113"/>
      <x:c r="J27" s="113"/>
      <x:c r="K27" s="113"/>
      <x:c r="L27" s="113"/>
      <x:c r="M27" s="113"/>
      <x:c r="N27" s="113"/>
      <x:c r="O27" s="113"/>
    </x:row>
    <x:row r="28">
      <x:c r="A28" s="113"/>
      <x:c r="B28" s="113"/>
      <x:c r="C28" s="113"/>
      <x:c r="D28" s="113"/>
      <x:c r="E28" s="113"/>
      <x:c r="F28" s="113"/>
      <x:c r="G28" s="113"/>
      <x:c r="H28" s="113"/>
      <x:c r="I28" s="113"/>
      <x:c r="J28" s="113"/>
      <x:c r="K28" s="113"/>
      <x:c r="L28" s="113"/>
      <x:c r="M28" s="113"/>
      <x:c r="N28" s="113"/>
      <x:c r="O28" s="113"/>
    </x:row>
    <x:row r="29">
      <x:c r="A29" s="113"/>
      <x:c r="B29" s="113"/>
      <x:c r="C29" s="113"/>
      <x:c r="D29" s="113"/>
      <x:c r="E29" s="113"/>
      <x:c r="F29" s="113"/>
      <x:c r="G29" s="113"/>
      <x:c r="H29" s="113"/>
      <x:c r="I29" s="113"/>
      <x:c r="J29" s="113"/>
      <x:c r="K29" s="113"/>
      <x:c r="L29" s="113"/>
      <x:c r="M29" s="113"/>
      <x:c r="N29" s="113"/>
      <x:c r="O29" s="113"/>
    </x:row>
    <x:row r="30">
      <x:c r="A30" s="113"/>
      <x:c r="B30" s="113"/>
      <x:c r="C30" s="113"/>
      <x:c r="D30" s="113"/>
      <x:c r="E30" s="113"/>
      <x:c r="F30" s="113"/>
      <x:c r="G30" s="113"/>
      <x:c r="H30" s="113"/>
      <x:c r="I30" s="113"/>
      <x:c r="J30" s="113"/>
      <x:c r="K30" s="113"/>
      <x:c r="L30" s="113"/>
      <x:c r="M30" s="113"/>
      <x:c r="N30" s="113"/>
      <x:c r="O30" s="113"/>
    </x:row>
    <x:row r="31">
      <x:c r="A31" s="113"/>
      <x:c r="B31" s="113"/>
      <x:c r="C31" s="113"/>
      <x:c r="D31" s="113"/>
      <x:c r="E31" s="113"/>
      <x:c r="F31" s="113"/>
      <x:c r="G31" s="113"/>
      <x:c r="H31" s="113"/>
      <x:c r="I31" s="113"/>
      <x:c r="J31" s="113"/>
      <x:c r="K31" s="113"/>
      <x:c r="L31" s="113"/>
      <x:c r="M31" s="113"/>
      <x:c r="N31" s="113"/>
      <x:c r="O31" s="113"/>
    </x:row>
    <x:row r="32">
      <x:c r="A32" s="113"/>
      <x:c r="B32" s="113"/>
      <x:c r="C32" s="113"/>
      <x:c r="D32" s="113"/>
      <x:c r="E32" s="113"/>
      <x:c r="F32" s="113"/>
      <x:c r="G32" s="113"/>
      <x:c r="H32" s="113"/>
      <x:c r="I32" s="113"/>
      <x:c r="J32" s="113"/>
      <x:c r="K32" s="113"/>
      <x:c r="L32" s="113"/>
      <x:c r="M32" s="113"/>
      <x:c r="N32" s="113"/>
      <x:c r="O32" s="113"/>
    </x:row>
    <x:row r="33">
      <x:c r="A33" s="113"/>
      <x:c r="B33" s="113"/>
      <x:c r="C33" s="113"/>
      <x:c r="D33" s="113"/>
      <x:c r="E33" s="113"/>
      <x:c r="F33" s="113"/>
      <x:c r="G33" s="113"/>
      <x:c r="H33" s="113"/>
      <x:c r="I33" s="113"/>
      <x:c r="J33" s="113"/>
      <x:c r="K33" s="113"/>
      <x:c r="L33" s="113"/>
      <x:c r="M33" s="113"/>
      <x:c r="N33" s="113"/>
      <x:c r="O33" s="113"/>
    </x:row>
    <x:row r="34">
      <x:c r="A34" s="113"/>
      <x:c r="B34" s="113"/>
      <x:c r="C34" s="113"/>
      <x:c r="D34" s="113"/>
      <x:c r="E34" s="113"/>
      <x:c r="F34" s="113"/>
      <x:c r="G34" s="113"/>
      <x:c r="H34" s="113"/>
      <x:c r="I34" s="113"/>
      <x:c r="J34" s="113"/>
      <x:c r="K34" s="113"/>
      <x:c r="L34" s="113"/>
      <x:c r="M34" s="113"/>
      <x:c r="N34" s="113"/>
      <x:c r="O34" s="113"/>
    </x:row>
    <x:row r="35">
      <x:c r="A35" s="113"/>
      <x:c r="B35" s="113"/>
      <x:c r="C35" s="113"/>
      <x:c r="D35" s="113"/>
      <x:c r="E35" s="113"/>
      <x:c r="F35" s="113"/>
      <x:c r="G35" s="113"/>
      <x:c r="H35" s="113"/>
      <x:c r="I35" s="113"/>
      <x:c r="J35" s="113"/>
      <x:c r="K35" s="113"/>
      <x:c r="L35" s="113"/>
      <x:c r="M35" s="113"/>
      <x:c r="N35" s="113"/>
      <x:c r="O35" s="113"/>
    </x:row>
    <x:row r="36">
      <x:c r="A36" s="113"/>
      <x:c r="B36" s="113"/>
      <x:c r="C36" s="113"/>
      <x:c r="D36" s="113"/>
      <x:c r="E36" s="113"/>
      <x:c r="F36" s="113"/>
      <x:c r="G36" s="113"/>
      <x:c r="H36" s="113"/>
      <x:c r="I36" s="113"/>
      <x:c r="J36" s="113"/>
      <x:c r="K36" s="113"/>
      <x:c r="L36" s="113"/>
      <x:c r="M36" s="113"/>
      <x:c r="N36" s="113"/>
      <x:c r="O36" s="113"/>
    </x:row>
    <x:row r="37">
      <x:c r="A37" s="113"/>
      <x:c r="B37" s="113"/>
      <x:c r="C37" s="113"/>
      <x:c r="D37" s="113"/>
      <x:c r="E37" s="113"/>
      <x:c r="F37" s="113"/>
      <x:c r="G37" s="113"/>
      <x:c r="H37" s="113"/>
      <x:c r="I37" s="113"/>
      <x:c r="J37" s="113"/>
      <x:c r="K37" s="113"/>
      <x:c r="L37" s="113"/>
      <x:c r="M37" s="113"/>
      <x:c r="N37" s="113"/>
      <x:c r="O37" s="113"/>
    </x:row>
    <x:row r="38">
      <x:c r="A38" s="113"/>
      <x:c r="B38" s="113"/>
      <x:c r="C38" s="113"/>
      <x:c r="D38" s="113"/>
      <x:c r="E38" s="113"/>
      <x:c r="F38" s="113"/>
      <x:c r="G38" s="113"/>
      <x:c r="H38" s="113"/>
      <x:c r="I38" s="113"/>
      <x:c r="J38" s="113"/>
      <x:c r="K38" s="113"/>
      <x:c r="L38" s="113"/>
      <x:c r="M38" s="113"/>
      <x:c r="N38" s="113"/>
      <x:c r="O38" s="113"/>
    </x:row>
    <x:row r="39">
      <x:c r="A39" s="113"/>
      <x:c r="B39" s="113"/>
      <x:c r="C39" s="113"/>
      <x:c r="D39" s="113"/>
      <x:c r="E39" s="113"/>
      <x:c r="F39" s="113"/>
      <x:c r="G39" s="113"/>
      <x:c r="H39" s="113"/>
      <x:c r="I39" s="113"/>
      <x:c r="J39" s="113"/>
      <x:c r="K39" s="113"/>
      <x:c r="L39" s="113"/>
      <x:c r="M39" s="113"/>
      <x:c r="N39" s="113"/>
      <x:c r="O39" s="113"/>
    </x:row>
    <x:row r="40">
      <x:c r="A40" s="113"/>
      <x:c r="B40" s="113"/>
      <x:c r="C40" s="113"/>
      <x:c r="D40" s="113"/>
      <x:c r="E40" s="113"/>
      <x:c r="F40" s="113"/>
      <x:c r="G40" s="113"/>
      <x:c r="H40" s="113"/>
      <x:c r="I40" s="113"/>
      <x:c r="J40" s="113"/>
      <x:c r="K40" s="113"/>
      <x:c r="L40" s="113"/>
      <x:c r="M40" s="113"/>
      <x:c r="N40" s="113"/>
      <x:c r="O40" s="113"/>
    </x:row>
    <x:row r="41">
      <x:c r="A41" s="113"/>
      <x:c r="B41" s="113"/>
      <x:c r="C41" s="113"/>
      <x:c r="D41" s="113"/>
      <x:c r="E41" s="113"/>
      <x:c r="F41" s="113"/>
      <x:c r="G41" s="113"/>
      <x:c r="H41" s="113"/>
      <x:c r="I41" s="113"/>
      <x:c r="J41" s="113"/>
      <x:c r="K41" s="113"/>
      <x:c r="L41" s="113"/>
      <x:c r="M41" s="113"/>
      <x:c r="N41" s="113"/>
      <x:c r="O41" s="113"/>
    </x:row>
    <x:row r="42">
      <x:c r="A42" s="113"/>
      <x:c r="B42" s="113"/>
      <x:c r="C42" s="113"/>
      <x:c r="D42" s="113"/>
      <x:c r="E42" s="113"/>
      <x:c r="F42" s="113"/>
      <x:c r="G42" s="113"/>
      <x:c r="H42" s="113"/>
      <x:c r="I42" s="113"/>
      <x:c r="J42" s="113"/>
      <x:c r="K42" s="113"/>
      <x:c r="L42" s="113"/>
      <x:c r="M42" s="113"/>
      <x:c r="N42" s="113"/>
      <x:c r="O42" s="113"/>
    </x:row>
    <x:row r="43">
      <x:c r="A43" s="113"/>
      <x:c r="B43" s="113"/>
      <x:c r="C43" s="113"/>
      <x:c r="D43" s="113"/>
      <x:c r="E43" s="113"/>
      <x:c r="F43" s="113"/>
      <x:c r="G43" s="113"/>
      <x:c r="H43" s="113"/>
      <x:c r="I43" s="113"/>
      <x:c r="J43" s="113"/>
      <x:c r="K43" s="113"/>
      <x:c r="L43" s="113"/>
      <x:c r="M43" s="113"/>
      <x:c r="N43" s="113"/>
      <x:c r="O43" s="113"/>
    </x:row>
    <x:row r="44">
      <x:c r="A44" s="113"/>
      <x:c r="B44" s="113"/>
      <x:c r="C44" s="113"/>
      <x:c r="D44" s="113"/>
      <x:c r="E44" s="113"/>
      <x:c r="F44" s="113"/>
      <x:c r="G44" s="113"/>
      <x:c r="H44" s="113"/>
      <x:c r="I44" s="113"/>
      <x:c r="J44" s="113"/>
      <x:c r="K44" s="113"/>
      <x:c r="L44" s="113"/>
      <x:c r="M44" s="113"/>
      <x:c r="N44" s="113"/>
      <x:c r="O44" s="113"/>
    </x:row>
    <x:row r="45">
      <x:c r="A45" s="113"/>
      <x:c r="B45" s="113"/>
      <x:c r="C45" s="113"/>
      <x:c r="D45" s="113"/>
      <x:c r="E45" s="113"/>
      <x:c r="F45" s="113"/>
      <x:c r="G45" s="113"/>
      <x:c r="H45" s="113"/>
      <x:c r="I45" s="113"/>
      <x:c r="J45" s="113"/>
      <x:c r="K45" s="113"/>
      <x:c r="L45" s="113"/>
      <x:c r="M45" s="113"/>
      <x:c r="N45" s="113"/>
      <x:c r="O45" s="113"/>
    </x:row>
    <x:row r="46">
      <x:c r="A46" s="113"/>
      <x:c r="B46" s="113"/>
      <x:c r="C46" s="113"/>
      <x:c r="D46" s="113"/>
      <x:c r="E46" s="113"/>
      <x:c r="F46" s="113"/>
      <x:c r="G46" s="113"/>
      <x:c r="H46" s="113"/>
      <x:c r="I46" s="113"/>
      <x:c r="J46" s="113"/>
      <x:c r="K46" s="113"/>
      <x:c r="L46" s="113"/>
      <x:c r="M46" s="113"/>
      <x:c r="N46" s="113"/>
      <x:c r="O46" s="113"/>
    </x:row>
    <x:row r="47">
      <x:c r="A47" s="113"/>
      <x:c r="B47" s="113"/>
      <x:c r="C47" s="113"/>
      <x:c r="D47" s="113"/>
      <x:c r="E47" s="113"/>
      <x:c r="F47" s="113"/>
      <x:c r="G47" s="113"/>
      <x:c r="H47" s="113"/>
      <x:c r="I47" s="113"/>
      <x:c r="J47" s="113"/>
      <x:c r="K47" s="113"/>
      <x:c r="L47" s="113"/>
      <x:c r="M47" s="113"/>
      <x:c r="N47" s="113"/>
      <x:c r="O47" s="113"/>
    </x:row>
    <x:row r="48">
      <x:c r="A48" s="113"/>
      <x:c r="B48" s="113"/>
      <x:c r="C48" s="113"/>
      <x:c r="D48" s="113"/>
      <x:c r="E48" s="113"/>
      <x:c r="F48" s="113"/>
      <x:c r="G48" s="113"/>
      <x:c r="H48" s="113"/>
      <x:c r="I48" s="113"/>
      <x:c r="J48" s="113"/>
      <x:c r="K48" s="113"/>
      <x:c r="L48" s="113"/>
      <x:c r="M48" s="113"/>
      <x:c r="N48" s="113"/>
      <x:c r="O48" s="113"/>
    </x:row>
    <x:row r="49">
      <x:c r="A49" s="113"/>
      <x:c r="B49" s="113"/>
      <x:c r="C49" s="113"/>
      <x:c r="D49" s="113"/>
      <x:c r="E49" s="113"/>
      <x:c r="F49" s="113"/>
      <x:c r="G49" s="113"/>
      <x:c r="H49" s="113"/>
      <x:c r="I49" s="113"/>
      <x:c r="J49" s="113"/>
      <x:c r="K49" s="113"/>
      <x:c r="L49" s="113"/>
      <x:c r="M49" s="113"/>
      <x:c r="N49" s="113"/>
      <x:c r="O49" s="113"/>
    </x:row>
    <x:row r="50">
      <x:c r="A50" s="113"/>
      <x:c r="B50" s="113"/>
      <x:c r="C50" s="113"/>
      <x:c r="D50" s="113"/>
      <x:c r="E50" s="113"/>
      <x:c r="F50" s="113"/>
      <x:c r="G50" s="113"/>
      <x:c r="H50" s="113"/>
      <x:c r="I50" s="113"/>
      <x:c r="J50" s="113"/>
      <x:c r="K50" s="113"/>
      <x:c r="L50" s="113"/>
      <x:c r="M50" s="113"/>
      <x:c r="N50" s="113"/>
      <x:c r="O50" s="113"/>
    </x:row>
    <x:row r="51">
      <x:c r="A51" s="113"/>
      <x:c r="B51" s="113"/>
      <x:c r="C51" s="113"/>
      <x:c r="D51" s="113"/>
      <x:c r="E51" s="113"/>
      <x:c r="F51" s="113"/>
      <x:c r="G51" s="113"/>
      <x:c r="H51" s="113"/>
      <x:c r="I51" s="113"/>
      <x:c r="J51" s="113"/>
      <x:c r="K51" s="113"/>
      <x:c r="L51" s="113"/>
      <x:c r="M51" s="113"/>
      <x:c r="N51" s="113"/>
      <x:c r="O51" s="113"/>
    </x:row>
    <x:row r="52">
      <x:c r="A52" s="113"/>
      <x:c r="B52" s="113"/>
      <x:c r="C52" s="113"/>
      <x:c r="D52" s="113"/>
      <x:c r="E52" s="113"/>
      <x:c r="F52" s="113"/>
      <x:c r="G52" s="113"/>
      <x:c r="H52" s="113"/>
      <x:c r="I52" s="113"/>
      <x:c r="J52" s="113"/>
      <x:c r="K52" s="113"/>
      <x:c r="L52" s="113"/>
      <x:c r="M52" s="113"/>
      <x:c r="N52" s="113"/>
      <x:c r="O52" s="113"/>
    </x:row>
    <x:row r="53">
      <x:c r="A53" s="113"/>
      <x:c r="B53" s="113"/>
      <x:c r="C53" s="113"/>
      <x:c r="D53" s="113"/>
      <x:c r="E53" s="113"/>
      <x:c r="F53" s="113"/>
      <x:c r="G53" s="113"/>
      <x:c r="H53" s="113"/>
      <x:c r="I53" s="113"/>
      <x:c r="J53" s="113"/>
      <x:c r="K53" s="113"/>
      <x:c r="L53" s="113"/>
      <x:c r="M53" s="113"/>
      <x:c r="N53" s="113"/>
      <x:c r="O53" s="113"/>
    </x:row>
    <x:row r="54">
      <x:c r="A54" s="113"/>
      <x:c r="B54" s="113"/>
      <x:c r="C54" s="113"/>
      <x:c r="D54" s="113"/>
      <x:c r="E54" s="113"/>
      <x:c r="F54" s="113"/>
      <x:c r="G54" s="113"/>
      <x:c r="H54" s="113"/>
      <x:c r="I54" s="113"/>
      <x:c r="J54" s="113"/>
      <x:c r="K54" s="113"/>
      <x:c r="L54" s="113"/>
      <x:c r="M54" s="113"/>
      <x:c r="N54" s="113"/>
      <x:c r="O54" s="113"/>
    </x:row>
    <x:row r="55">
      <x:c r="A55" s="113"/>
      <x:c r="B55" s="113"/>
      <x:c r="C55" s="113"/>
      <x:c r="D55" s="113"/>
      <x:c r="E55" s="113"/>
      <x:c r="F55" s="113"/>
      <x:c r="G55" s="113"/>
      <x:c r="H55" s="113"/>
      <x:c r="I55" s="113"/>
      <x:c r="J55" s="113"/>
      <x:c r="K55" s="113"/>
      <x:c r="L55" s="113"/>
      <x:c r="M55" s="113"/>
      <x:c r="N55" s="113"/>
      <x:c r="O55" s="113"/>
    </x:row>
    <x:row r="56">
      <x:c r="A56" s="113"/>
      <x:c r="B56" s="113"/>
      <x:c r="C56" s="113"/>
      <x:c r="D56" s="113"/>
      <x:c r="E56" s="113"/>
      <x:c r="F56" s="113"/>
      <x:c r="G56" s="113"/>
      <x:c r="H56" s="113"/>
      <x:c r="I56" s="113"/>
      <x:c r="J56" s="113"/>
      <x:c r="K56" s="113"/>
      <x:c r="L56" s="113"/>
      <x:c r="M56" s="113"/>
      <x:c r="N56" s="113"/>
      <x:c r="O56" s="113"/>
    </x:row>
    <x:row r="57">
      <x:c r="A57" s="113"/>
      <x:c r="B57" s="113"/>
      <x:c r="C57" s="113"/>
      <x:c r="D57" s="113"/>
      <x:c r="E57" s="113"/>
      <x:c r="F57" s="113"/>
      <x:c r="G57" s="113"/>
      <x:c r="H57" s="113"/>
      <x:c r="I57" s="113"/>
      <x:c r="J57" s="113"/>
      <x:c r="K57" s="113"/>
      <x:c r="L57" s="113"/>
      <x:c r="M57" s="113"/>
      <x:c r="N57" s="113"/>
      <x:c r="O57" s="113"/>
    </x:row>
    <x:row r="58">
      <x:c r="A58" s="113"/>
      <x:c r="B58" s="113"/>
      <x:c r="C58" s="113"/>
      <x:c r="D58" s="113"/>
      <x:c r="E58" s="113"/>
      <x:c r="F58" s="113"/>
      <x:c r="G58" s="113"/>
      <x:c r="H58" s="113"/>
      <x:c r="I58" s="113"/>
      <x:c r="J58" s="113"/>
      <x:c r="K58" s="113"/>
      <x:c r="L58" s="113"/>
      <x:c r="M58" s="113"/>
      <x:c r="N58" s="113"/>
      <x:c r="O58" s="113"/>
    </x:row>
    <x:row r="59">
      <x:c r="A59" s="113"/>
      <x:c r="B59" s="113"/>
      <x:c r="C59" s="113"/>
      <x:c r="D59" s="113"/>
      <x:c r="E59" s="113"/>
      <x:c r="F59" s="113"/>
      <x:c r="G59" s="113"/>
      <x:c r="H59" s="113"/>
      <x:c r="I59" s="113"/>
      <x:c r="J59" s="113"/>
      <x:c r="K59" s="113"/>
      <x:c r="L59" s="113"/>
      <x:c r="M59" s="113"/>
      <x:c r="N59" s="113"/>
      <x:c r="O59" s="113"/>
    </x:row>
    <x:row r="60">
      <x:c r="A60" s="113"/>
      <x:c r="B60" s="113"/>
      <x:c r="C60" s="113"/>
      <x:c r="D60" s="113"/>
      <x:c r="E60" s="113"/>
      <x:c r="F60" s="113"/>
      <x:c r="G60" s="113"/>
      <x:c r="H60" s="113"/>
      <x:c r="I60" s="113"/>
      <x:c r="J60" s="113"/>
      <x:c r="K60" s="113"/>
      <x:c r="L60" s="113"/>
      <x:c r="M60" s="113"/>
      <x:c r="N60" s="113"/>
      <x:c r="O60" s="113"/>
    </x:row>
    <x:row r="61">
      <x:c r="A61" s="113"/>
      <x:c r="B61" s="113"/>
      <x:c r="C61" s="113"/>
      <x:c r="D61" s="113"/>
      <x:c r="E61" s="113"/>
      <x:c r="F61" s="113"/>
      <x:c r="G61" s="113"/>
      <x:c r="H61" s="113"/>
      <x:c r="I61" s="113"/>
      <x:c r="J61" s="113"/>
      <x:c r="K61" s="113"/>
      <x:c r="L61" s="113"/>
      <x:c r="M61" s="113"/>
      <x:c r="N61" s="113"/>
      <x:c r="O61" s="113"/>
    </x:row>
    <x:row r="62">
      <x:c r="A62" s="113"/>
      <x:c r="B62" s="113"/>
      <x:c r="C62" s="113"/>
      <x:c r="D62" s="113"/>
      <x:c r="E62" s="113"/>
      <x:c r="F62" s="113"/>
      <x:c r="G62" s="113"/>
      <x:c r="H62" s="113"/>
      <x:c r="I62" s="113"/>
      <x:c r="J62" s="113"/>
      <x:c r="K62" s="113"/>
      <x:c r="L62" s="113"/>
      <x:c r="M62" s="113"/>
      <x:c r="N62" s="113"/>
      <x:c r="O62" s="113"/>
    </x:row>
    <x:row r="63">
      <x:c r="A63" s="113"/>
      <x:c r="B63" s="113"/>
      <x:c r="C63" s="113"/>
      <x:c r="D63" s="113"/>
      <x:c r="E63" s="113"/>
      <x:c r="F63" s="113"/>
      <x:c r="G63" s="113"/>
      <x:c r="H63" s="113"/>
      <x:c r="I63" s="113"/>
      <x:c r="J63" s="113"/>
      <x:c r="K63" s="113"/>
      <x:c r="L63" s="113"/>
      <x:c r="M63" s="113"/>
      <x:c r="N63" s="113"/>
      <x:c r="O63" s="113"/>
    </x:row>
    <x:row r="64">
      <x:c r="A64" s="113"/>
      <x:c r="B64" s="113"/>
      <x:c r="C64" s="113"/>
      <x:c r="D64" s="113"/>
      <x:c r="E64" s="113"/>
      <x:c r="F64" s="113"/>
      <x:c r="G64" s="113"/>
      <x:c r="H64" s="113"/>
      <x:c r="I64" s="113"/>
      <x:c r="J64" s="113"/>
      <x:c r="K64" s="113"/>
      <x:c r="L64" s="113"/>
      <x:c r="M64" s="113"/>
      <x:c r="N64" s="113"/>
      <x:c r="O64" s="113"/>
    </x:row>
    <x:row r="65">
      <x:c r="A65" s="113"/>
      <x:c r="B65" s="113"/>
      <x:c r="C65" s="113"/>
      <x:c r="D65" s="113"/>
      <x:c r="E65" s="113"/>
      <x:c r="F65" s="113"/>
      <x:c r="G65" s="113"/>
      <x:c r="H65" s="113"/>
      <x:c r="I65" s="113"/>
      <x:c r="J65" s="113"/>
      <x:c r="K65" s="113"/>
      <x:c r="L65" s="113"/>
      <x:c r="M65" s="113"/>
      <x:c r="N65" s="113"/>
      <x:c r="O65" s="113"/>
    </x:row>
    <x:row r="66">
      <x:c r="A66" s="113"/>
      <x:c r="B66" s="113"/>
      <x:c r="C66" s="113"/>
      <x:c r="D66" s="113"/>
      <x:c r="E66" s="113"/>
      <x:c r="F66" s="113"/>
      <x:c r="G66" s="113"/>
      <x:c r="H66" s="113"/>
      <x:c r="I66" s="113"/>
      <x:c r="J66" s="113"/>
      <x:c r="K66" s="113"/>
      <x:c r="L66" s="113"/>
      <x:c r="M66" s="113"/>
      <x:c r="N66" s="113"/>
      <x:c r="O66" s="113"/>
    </x:row>
    <x:row r="67">
      <x:c r="A67" s="113"/>
      <x:c r="B67" s="113"/>
      <x:c r="C67" s="113"/>
      <x:c r="D67" s="113"/>
      <x:c r="E67" s="113"/>
      <x:c r="F67" s="113"/>
      <x:c r="G67" s="113"/>
      <x:c r="H67" s="113"/>
      <x:c r="I67" s="113"/>
      <x:c r="J67" s="113"/>
      <x:c r="K67" s="113"/>
      <x:c r="L67" s="113"/>
      <x:c r="M67" s="113"/>
      <x:c r="N67" s="113"/>
      <x:c r="O67" s="113"/>
    </x:row>
    <x:row r="68">
      <x:c r="A68" s="113"/>
      <x:c r="B68" s="113"/>
      <x:c r="C68" s="113"/>
      <x:c r="D68" s="113"/>
      <x:c r="E68" s="113"/>
      <x:c r="F68" s="113"/>
      <x:c r="G68" s="113"/>
      <x:c r="H68" s="113"/>
      <x:c r="I68" s="113"/>
      <x:c r="J68" s="113"/>
      <x:c r="K68" s="113"/>
      <x:c r="L68" s="113"/>
      <x:c r="M68" s="113"/>
      <x:c r="N68" s="113"/>
      <x:c r="O68" s="113"/>
    </x:row>
    <x:row r="69">
      <x:c r="A69" s="113"/>
      <x:c r="B69" s="113"/>
      <x:c r="C69" s="113"/>
      <x:c r="D69" s="113"/>
      <x:c r="E69" s="113"/>
      <x:c r="F69" s="113"/>
      <x:c r="G69" s="113"/>
      <x:c r="H69" s="113"/>
      <x:c r="I69" s="113"/>
      <x:c r="J69" s="113"/>
      <x:c r="K69" s="113"/>
      <x:c r="L69" s="113"/>
      <x:c r="M69" s="113"/>
      <x:c r="N69" s="113"/>
      <x:c r="O69" s="113"/>
    </x:row>
    <x:row r="70">
      <x:c r="A70" s="113"/>
      <x:c r="B70" s="113"/>
      <x:c r="C70" s="113"/>
      <x:c r="D70" s="113"/>
      <x:c r="E70" s="113"/>
      <x:c r="F70" s="113"/>
      <x:c r="G70" s="113"/>
      <x:c r="H70" s="113"/>
      <x:c r="I70" s="113"/>
      <x:c r="J70" s="113"/>
      <x:c r="K70" s="113"/>
      <x:c r="L70" s="113"/>
      <x:c r="M70" s="113"/>
      <x:c r="N70" s="113"/>
      <x:c r="O70" s="113"/>
    </x:row>
    <x:row r="71">
      <x:c r="A71" s="113"/>
      <x:c r="B71" s="113"/>
      <x:c r="C71" s="113"/>
      <x:c r="D71" s="113"/>
      <x:c r="E71" s="113"/>
      <x:c r="F71" s="113"/>
      <x:c r="G71" s="113"/>
      <x:c r="H71" s="113"/>
      <x:c r="I71" s="113"/>
      <x:c r="J71" s="113"/>
      <x:c r="K71" s="113"/>
      <x:c r="L71" s="113"/>
      <x:c r="M71" s="113"/>
      <x:c r="N71" s="113"/>
      <x:c r="O71" s="113"/>
    </x:row>
    <x:row r="72">
      <x:c r="A72" s="113"/>
      <x:c r="B72" s="113"/>
      <x:c r="C72" s="113"/>
      <x:c r="D72" s="113"/>
      <x:c r="E72" s="113"/>
      <x:c r="F72" s="113"/>
      <x:c r="G72" s="113"/>
      <x:c r="H72" s="113"/>
      <x:c r="I72" s="113"/>
      <x:c r="J72" s="113"/>
      <x:c r="K72" s="113"/>
      <x:c r="L72" s="113"/>
      <x:c r="M72" s="113"/>
      <x:c r="N72" s="113"/>
      <x:c r="O72" s="113"/>
    </x:row>
    <x:row r="73">
      <x:c r="A73" s="113"/>
      <x:c r="B73" s="113"/>
      <x:c r="C73" s="113"/>
      <x:c r="D73" s="113"/>
      <x:c r="E73" s="113"/>
      <x:c r="F73" s="113"/>
      <x:c r="G73" s="113"/>
      <x:c r="H73" s="113"/>
      <x:c r="I73" s="113"/>
      <x:c r="J73" s="113"/>
      <x:c r="K73" s="113"/>
      <x:c r="L73" s="113"/>
      <x:c r="M73" s="113"/>
      <x:c r="N73" s="113"/>
      <x:c r="O73" s="113"/>
    </x:row>
    <x:row r="74">
      <x:c r="A74" s="113"/>
      <x:c r="B74" s="113"/>
      <x:c r="C74" s="113"/>
      <x:c r="D74" s="113"/>
      <x:c r="E74" s="113"/>
      <x:c r="F74" s="113"/>
      <x:c r="G74" s="113"/>
      <x:c r="H74" s="113"/>
      <x:c r="I74" s="113"/>
      <x:c r="J74" s="113"/>
      <x:c r="K74" s="113"/>
      <x:c r="L74" s="113"/>
      <x:c r="M74" s="113"/>
      <x:c r="N74" s="113"/>
      <x:c r="O74" s="113"/>
    </x:row>
    <x:row r="75">
      <x:c r="A75" s="113"/>
      <x:c r="B75" s="113"/>
      <x:c r="C75" s="113"/>
      <x:c r="D75" s="113"/>
      <x:c r="E75" s="113"/>
      <x:c r="F75" s="113"/>
      <x:c r="G75" s="113"/>
      <x:c r="H75" s="113"/>
      <x:c r="I75" s="113"/>
      <x:c r="J75" s="113"/>
      <x:c r="K75" s="113"/>
      <x:c r="L75" s="113"/>
      <x:c r="M75" s="113"/>
      <x:c r="N75" s="113"/>
      <x:c r="O75" s="113"/>
    </x:row>
    <x:row r="76">
      <x:c r="A76" s="113"/>
      <x:c r="B76" s="113"/>
      <x:c r="C76" s="113"/>
      <x:c r="D76" s="113"/>
      <x:c r="E76" s="113"/>
      <x:c r="F76" s="113"/>
      <x:c r="G76" s="113"/>
      <x:c r="H76" s="113"/>
      <x:c r="I76" s="113"/>
      <x:c r="J76" s="113"/>
      <x:c r="K76" s="113"/>
      <x:c r="L76" s="113"/>
      <x:c r="M76" s="113"/>
      <x:c r="N76" s="113"/>
      <x:c r="O76" s="113"/>
    </x:row>
    <x:row r="77">
      <x:c r="A77" s="113"/>
      <x:c r="B77" s="113"/>
      <x:c r="C77" s="113"/>
      <x:c r="D77" s="113"/>
      <x:c r="E77" s="113"/>
      <x:c r="F77" s="113"/>
      <x:c r="G77" s="113"/>
      <x:c r="H77" s="113"/>
      <x:c r="I77" s="113"/>
      <x:c r="J77" s="113"/>
      <x:c r="K77" s="113"/>
      <x:c r="L77" s="113"/>
      <x:c r="M77" s="113"/>
      <x:c r="N77" s="113"/>
      <x:c r="O77" s="113"/>
    </x:row>
    <x:row r="78">
      <x:c r="A78" s="113"/>
      <x:c r="B78" s="113"/>
      <x:c r="C78" s="113"/>
      <x:c r="D78" s="113"/>
      <x:c r="E78" s="113"/>
      <x:c r="F78" s="113"/>
      <x:c r="G78" s="113"/>
      <x:c r="H78" s="113"/>
      <x:c r="I78" s="113"/>
      <x:c r="J78" s="113"/>
      <x:c r="K78" s="113"/>
      <x:c r="L78" s="113"/>
      <x:c r="M78" s="113"/>
      <x:c r="N78" s="113"/>
      <x:c r="O78" s="113"/>
    </x:row>
    <x:row r="79">
      <x:c r="A79" s="113"/>
      <x:c r="B79" s="113"/>
      <x:c r="C79" s="113"/>
      <x:c r="D79" s="113"/>
      <x:c r="E79" s="113"/>
      <x:c r="F79" s="113"/>
      <x:c r="G79" s="113"/>
      <x:c r="H79" s="113"/>
      <x:c r="I79" s="113"/>
      <x:c r="J79" s="113"/>
      <x:c r="K79" s="113"/>
      <x:c r="L79" s="113"/>
      <x:c r="M79" s="113"/>
      <x:c r="N79" s="113"/>
      <x:c r="O79" s="113"/>
    </x:row>
    <x:row r="80">
      <x:c r="A80" s="113"/>
      <x:c r="B80" s="113"/>
      <x:c r="C80" s="113"/>
      <x:c r="D80" s="113"/>
      <x:c r="E80" s="113"/>
      <x:c r="F80" s="113"/>
      <x:c r="G80" s="113"/>
      <x:c r="H80" s="113"/>
      <x:c r="I80" s="113"/>
      <x:c r="J80" s="113"/>
      <x:c r="K80" s="113"/>
      <x:c r="L80" s="113"/>
      <x:c r="M80" s="113"/>
      <x:c r="N80" s="113"/>
      <x:c r="O80" s="113"/>
    </x:row>
    <x:row r="81">
      <x:c r="A81" s="113"/>
      <x:c r="B81" s="113"/>
      <x:c r="C81" s="113"/>
      <x:c r="D81" s="113"/>
      <x:c r="E81" s="113"/>
      <x:c r="F81" s="113"/>
      <x:c r="G81" s="113"/>
      <x:c r="H81" s="113"/>
      <x:c r="I81" s="113"/>
      <x:c r="J81" s="113"/>
      <x:c r="K81" s="113"/>
      <x:c r="L81" s="113"/>
      <x:c r="M81" s="113"/>
      <x:c r="N81" s="113"/>
      <x:c r="O81" s="113"/>
    </x:row>
    <x:row r="82">
      <x:c r="A82" s="113"/>
      <x:c r="B82" s="113"/>
      <x:c r="C82" s="113"/>
      <x:c r="D82" s="113"/>
      <x:c r="E82" s="113"/>
      <x:c r="F82" s="113"/>
      <x:c r="G82" s="113"/>
      <x:c r="H82" s="113"/>
      <x:c r="I82" s="113"/>
      <x:c r="J82" s="113"/>
      <x:c r="K82" s="113"/>
      <x:c r="L82" s="113"/>
      <x:c r="M82" s="113"/>
      <x:c r="N82" s="113"/>
      <x:c r="O82" s="113"/>
    </x:row>
    <x:row r="83">
      <x:c r="A83" s="113"/>
      <x:c r="B83" s="113"/>
      <x:c r="C83" s="113"/>
      <x:c r="D83" s="113"/>
      <x:c r="E83" s="113"/>
      <x:c r="F83" s="113"/>
      <x:c r="G83" s="113"/>
      <x:c r="H83" s="113"/>
      <x:c r="I83" s="113"/>
      <x:c r="J83" s="113"/>
      <x:c r="K83" s="113"/>
      <x:c r="L83" s="113"/>
      <x:c r="M83" s="113"/>
      <x:c r="N83" s="113"/>
      <x:c r="O83" s="113"/>
    </x:row>
    <x:row r="84">
      <x:c r="A84" s="113"/>
      <x:c r="B84" s="113"/>
      <x:c r="C84" s="113"/>
      <x:c r="D84" s="113"/>
      <x:c r="E84" s="113"/>
      <x:c r="F84" s="113"/>
      <x:c r="G84" s="113"/>
      <x:c r="H84" s="113"/>
      <x:c r="I84" s="113"/>
      <x:c r="J84" s="113"/>
      <x:c r="K84" s="113"/>
      <x:c r="L84" s="113"/>
      <x:c r="M84" s="113"/>
      <x:c r="N84" s="113"/>
      <x:c r="O84" s="113"/>
    </x:row>
    <x:row r="85">
      <x:c r="A85" s="113"/>
      <x:c r="B85" s="113"/>
      <x:c r="C85" s="113"/>
      <x:c r="D85" s="113"/>
      <x:c r="E85" s="113"/>
      <x:c r="F85" s="113"/>
      <x:c r="G85" s="113"/>
      <x:c r="H85" s="113"/>
      <x:c r="I85" s="113"/>
      <x:c r="J85" s="113"/>
      <x:c r="K85" s="113"/>
      <x:c r="L85" s="113"/>
      <x:c r="M85" s="113"/>
      <x:c r="N85" s="113"/>
      <x:c r="O85" s="113"/>
    </x:row>
    <x:row r="86">
      <x:c r="A86" s="113"/>
      <x:c r="B86" s="113"/>
      <x:c r="C86" s="113"/>
      <x:c r="D86" s="113"/>
      <x:c r="E86" s="113"/>
      <x:c r="F86" s="113"/>
      <x:c r="G86" s="113"/>
      <x:c r="H86" s="113"/>
      <x:c r="I86" s="113"/>
      <x:c r="J86" s="113"/>
      <x:c r="K86" s="113"/>
      <x:c r="L86" s="113"/>
      <x:c r="M86" s="113"/>
      <x:c r="N86" s="113"/>
      <x:c r="O86" s="113"/>
    </x:row>
    <x:row r="87">
      <x:c r="A87" s="113"/>
      <x:c r="B87" s="113"/>
      <x:c r="C87" s="113"/>
      <x:c r="D87" s="113"/>
      <x:c r="E87" s="113"/>
      <x:c r="F87" s="113"/>
      <x:c r="G87" s="113"/>
      <x:c r="H87" s="113"/>
      <x:c r="I87" s="113"/>
      <x:c r="J87" s="113"/>
      <x:c r="K87" s="113"/>
      <x:c r="L87" s="113"/>
      <x:c r="M87" s="113"/>
      <x:c r="N87" s="113"/>
      <x:c r="O87" s="113"/>
    </x:row>
    <x:row r="88">
      <x:c r="A88" s="113"/>
      <x:c r="B88" s="113"/>
      <x:c r="C88" s="113"/>
      <x:c r="D88" s="113"/>
      <x:c r="E88" s="113"/>
      <x:c r="F88" s="113"/>
      <x:c r="G88" s="113"/>
      <x:c r="H88" s="113"/>
      <x:c r="I88" s="113"/>
      <x:c r="J88" s="113"/>
      <x:c r="K88" s="113"/>
      <x:c r="L88" s="113"/>
      <x:c r="M88" s="113"/>
      <x:c r="N88" s="113"/>
      <x:c r="O88" s="113"/>
    </x:row>
    <x:row r="89">
      <x:c r="A89" s="113"/>
      <x:c r="B89" s="113"/>
      <x:c r="C89" s="113"/>
      <x:c r="D89" s="113"/>
      <x:c r="E89" s="113"/>
      <x:c r="F89" s="113"/>
      <x:c r="G89" s="113"/>
      <x:c r="H89" s="113"/>
      <x:c r="I89" s="113"/>
      <x:c r="J89" s="113"/>
      <x:c r="K89" s="113"/>
      <x:c r="L89" s="113"/>
      <x:c r="M89" s="113"/>
      <x:c r="N89" s="113"/>
      <x:c r="O89" s="113"/>
    </x:row>
    <x:row r="90">
      <x:c r="A90" s="113"/>
      <x:c r="B90" s="113"/>
      <x:c r="C90" s="113"/>
      <x:c r="D90" s="113"/>
      <x:c r="E90" s="113"/>
      <x:c r="F90" s="113"/>
      <x:c r="G90" s="113"/>
      <x:c r="H90" s="113"/>
      <x:c r="I90" s="113"/>
      <x:c r="J90" s="113"/>
      <x:c r="K90" s="113"/>
      <x:c r="L90" s="113"/>
      <x:c r="M90" s="113"/>
      <x:c r="N90" s="113"/>
      <x:c r="O90" s="113"/>
    </x:row>
    <x:row r="91">
      <x:c r="A91" s="113"/>
      <x:c r="B91" s="113"/>
      <x:c r="C91" s="113"/>
      <x:c r="D91" s="113"/>
      <x:c r="E91" s="113"/>
      <x:c r="F91" s="113"/>
      <x:c r="G91" s="113"/>
      <x:c r="H91" s="113"/>
      <x:c r="I91" s="113"/>
      <x:c r="J91" s="113"/>
      <x:c r="K91" s="113"/>
      <x:c r="L91" s="113"/>
      <x:c r="M91" s="113"/>
      <x:c r="N91" s="113"/>
      <x:c r="O91" s="113"/>
    </x:row>
    <x:row r="92">
      <x:c r="A92" s="113"/>
      <x:c r="B92" s="113"/>
      <x:c r="C92" s="113"/>
      <x:c r="D92" s="113"/>
      <x:c r="E92" s="113"/>
      <x:c r="F92" s="113"/>
      <x:c r="G92" s="113"/>
      <x:c r="H92" s="113"/>
      <x:c r="I92" s="113"/>
      <x:c r="J92" s="113"/>
      <x:c r="K92" s="113"/>
      <x:c r="L92" s="113"/>
      <x:c r="M92" s="113"/>
      <x:c r="N92" s="113"/>
      <x:c r="O92" s="113"/>
    </x:row>
    <x:row r="93">
      <x:c r="A93" s="113"/>
      <x:c r="B93" s="113"/>
      <x:c r="C93" s="113"/>
      <x:c r="D93" s="113"/>
      <x:c r="E93" s="113"/>
      <x:c r="F93" s="113"/>
      <x:c r="G93" s="113"/>
      <x:c r="H93" s="113"/>
      <x:c r="I93" s="113"/>
      <x:c r="J93" s="113"/>
      <x:c r="K93" s="113"/>
      <x:c r="L93" s="113"/>
      <x:c r="M93" s="113"/>
      <x:c r="N93" s="113"/>
      <x:c r="O93" s="113"/>
    </x:row>
    <x:row r="94">
      <x:c r="A94" s="113"/>
      <x:c r="B94" s="113"/>
      <x:c r="C94" s="113"/>
      <x:c r="D94" s="113"/>
      <x:c r="E94" s="113"/>
      <x:c r="F94" s="113"/>
      <x:c r="G94" s="113"/>
      <x:c r="H94" s="113"/>
      <x:c r="I94" s="113"/>
      <x:c r="J94" s="113"/>
      <x:c r="K94" s="113"/>
      <x:c r="L94" s="113"/>
      <x:c r="M94" s="113"/>
      <x:c r="N94" s="113"/>
      <x:c r="O94" s="113"/>
    </x:row>
    <x:row r="95">
      <x:c r="A95" s="113"/>
      <x:c r="B95" s="113"/>
      <x:c r="C95" s="113"/>
      <x:c r="D95" s="113"/>
      <x:c r="E95" s="113"/>
      <x:c r="F95" s="113"/>
      <x:c r="G95" s="113"/>
      <x:c r="H95" s="113"/>
      <x:c r="I95" s="113"/>
      <x:c r="J95" s="113"/>
      <x:c r="K95" s="113"/>
      <x:c r="L95" s="113"/>
      <x:c r="M95" s="113"/>
      <x:c r="N95" s="113"/>
      <x:c r="O95" s="113"/>
    </x:row>
    <x:row r="96">
      <x:c r="A96" s="113"/>
      <x:c r="B96" s="113"/>
      <x:c r="C96" s="113"/>
      <x:c r="D96" s="113"/>
      <x:c r="E96" s="113"/>
      <x:c r="F96" s="113"/>
      <x:c r="G96" s="113"/>
      <x:c r="H96" s="113"/>
      <x:c r="I96" s="113"/>
      <x:c r="J96" s="113"/>
      <x:c r="K96" s="113"/>
      <x:c r="L96" s="113"/>
      <x:c r="M96" s="113"/>
      <x:c r="N96" s="113"/>
      <x:c r="O96" s="113"/>
    </x:row>
    <x:row r="97">
      <x:c r="A97" s="113"/>
      <x:c r="B97" s="113"/>
      <x:c r="C97" s="113"/>
      <x:c r="D97" s="113"/>
      <x:c r="E97" s="113"/>
      <x:c r="F97" s="113"/>
      <x:c r="G97" s="113"/>
      <x:c r="H97" s="113"/>
      <x:c r="I97" s="113"/>
      <x:c r="J97" s="113"/>
      <x:c r="K97" s="113"/>
      <x:c r="L97" s="113"/>
      <x:c r="M97" s="113"/>
      <x:c r="N97" s="113"/>
      <x:c r="O97" s="113"/>
    </x:row>
    <x:row r="98">
      <x:c r="A98" s="113"/>
      <x:c r="B98" s="113"/>
      <x:c r="C98" s="113"/>
      <x:c r="D98" s="113"/>
      <x:c r="E98" s="113"/>
      <x:c r="F98" s="113"/>
      <x:c r="G98" s="113"/>
      <x:c r="H98" s="113"/>
      <x:c r="I98" s="113"/>
      <x:c r="J98" s="113"/>
      <x:c r="K98" s="113"/>
      <x:c r="L98" s="113"/>
      <x:c r="M98" s="113"/>
      <x:c r="N98" s="113"/>
      <x:c r="O98" s="113"/>
    </x:row>
    <x:row r="99">
      <x:c r="A99" s="113"/>
      <x:c r="B99" s="113"/>
      <x:c r="C99" s="113"/>
      <x:c r="D99" s="113"/>
      <x:c r="E99" s="113"/>
      <x:c r="F99" s="113"/>
      <x:c r="G99" s="113"/>
      <x:c r="H99" s="113"/>
      <x:c r="I99" s="113"/>
      <x:c r="J99" s="113"/>
      <x:c r="K99" s="113"/>
      <x:c r="L99" s="113"/>
      <x:c r="M99" s="113"/>
      <x:c r="N99" s="113"/>
      <x:c r="O99" s="113"/>
    </x:row>
    <x:row r="100">
      <x:c r="A100" s="113"/>
      <x:c r="B100" s="113"/>
      <x:c r="C100" s="113"/>
      <x:c r="D100" s="113"/>
      <x:c r="E100" s="113"/>
      <x:c r="F100" s="113"/>
      <x:c r="G100" s="113"/>
      <x:c r="H100" s="113"/>
      <x:c r="I100" s="113"/>
      <x:c r="J100" s="113"/>
      <x:c r="K100" s="113"/>
      <x:c r="L100" s="113"/>
      <x:c r="M100" s="113"/>
      <x:c r="N100" s="113"/>
      <x:c r="O100" s="113"/>
    </x:row>
    <x:row r="101">
      <x:c r="A101" s="113"/>
      <x:c r="B101" s="113"/>
      <x:c r="C101" s="113"/>
      <x:c r="D101" s="113"/>
      <x:c r="E101" s="113"/>
      <x:c r="F101" s="113"/>
      <x:c r="G101" s="113"/>
      <x:c r="H101" s="113"/>
      <x:c r="I101" s="113"/>
      <x:c r="J101" s="113"/>
      <x:c r="K101" s="113"/>
      <x:c r="L101" s="113"/>
      <x:c r="M101" s="113"/>
      <x:c r="N101" s="113"/>
      <x:c r="O101" s="113"/>
    </x:row>
    <x:row r="102">
      <x:c r="A102" s="113"/>
      <x:c r="B102" s="113"/>
      <x:c r="C102" s="113"/>
      <x:c r="D102" s="113"/>
      <x:c r="E102" s="113"/>
      <x:c r="F102" s="113"/>
      <x:c r="G102" s="113"/>
      <x:c r="H102" s="113"/>
      <x:c r="I102" s="113"/>
      <x:c r="J102" s="113"/>
      <x:c r="K102" s="113"/>
      <x:c r="L102" s="113"/>
      <x:c r="M102" s="113"/>
      <x:c r="N102" s="113"/>
      <x:c r="O102" s="113"/>
    </x:row>
    <x:row r="103">
      <x:c r="A103" s="113"/>
      <x:c r="B103" s="113"/>
      <x:c r="C103" s="113"/>
      <x:c r="D103" s="113"/>
      <x:c r="E103" s="113"/>
      <x:c r="F103" s="113"/>
      <x:c r="G103" s="113"/>
      <x:c r="H103" s="113"/>
      <x:c r="I103" s="113"/>
      <x:c r="J103" s="113"/>
      <x:c r="K103" s="113"/>
      <x:c r="L103" s="113"/>
      <x:c r="M103" s="113"/>
      <x:c r="N103" s="113"/>
      <x:c r="O103" s="113"/>
    </x:row>
    <x:row r="104">
      <x:c r="A104" s="113"/>
      <x:c r="B104" s="113"/>
      <x:c r="C104" s="113"/>
      <x:c r="D104" s="113"/>
      <x:c r="E104" s="113"/>
      <x:c r="F104" s="113"/>
      <x:c r="G104" s="113"/>
      <x:c r="H104" s="113"/>
      <x:c r="I104" s="113"/>
      <x:c r="J104" s="113"/>
      <x:c r="K104" s="113"/>
      <x:c r="L104" s="113"/>
      <x:c r="M104" s="113"/>
      <x:c r="N104" s="113"/>
      <x:c r="O104" s="113"/>
    </x:row>
    <x:row r="105">
      <x:c r="A105" s="113"/>
      <x:c r="B105" s="113"/>
      <x:c r="C105" s="113"/>
      <x:c r="D105" s="113"/>
      <x:c r="E105" s="113"/>
      <x:c r="F105" s="113"/>
      <x:c r="G105" s="113"/>
      <x:c r="H105" s="113"/>
      <x:c r="I105" s="113"/>
      <x:c r="J105" s="113"/>
      <x:c r="K105" s="113"/>
      <x:c r="L105" s="113"/>
      <x:c r="M105" s="113"/>
      <x:c r="N105" s="113"/>
      <x:c r="O105" s="113"/>
    </x:row>
    <x:row r="106">
      <x:c r="A106" s="113"/>
      <x:c r="B106" s="113"/>
      <x:c r="C106" s="113"/>
      <x:c r="D106" s="113"/>
      <x:c r="E106" s="113"/>
      <x:c r="F106" s="113"/>
      <x:c r="G106" s="113"/>
      <x:c r="H106" s="113"/>
      <x:c r="I106" s="113"/>
      <x:c r="J106" s="113"/>
      <x:c r="K106" s="113"/>
      <x:c r="L106" s="113"/>
      <x:c r="M106" s="113"/>
      <x:c r="N106" s="113"/>
      <x:c r="O106" s="113"/>
    </x:row>
    <x:row r="107">
      <x:c r="A107" s="113"/>
      <x:c r="B107" s="113"/>
      <x:c r="C107" s="113"/>
      <x:c r="D107" s="113"/>
      <x:c r="E107" s="113"/>
      <x:c r="F107" s="113"/>
      <x:c r="G107" s="113"/>
      <x:c r="H107" s="113"/>
      <x:c r="I107" s="113"/>
      <x:c r="J107" s="113"/>
      <x:c r="K107" s="113"/>
      <x:c r="L107" s="113"/>
      <x:c r="M107" s="113"/>
      <x:c r="N107" s="113"/>
      <x:c r="O107" s="113"/>
    </x:row>
    <x:row r="108">
      <x:c r="A108" s="113"/>
      <x:c r="B108" s="113"/>
      <x:c r="C108" s="113"/>
      <x:c r="D108" s="113"/>
      <x:c r="E108" s="113"/>
      <x:c r="F108" s="113"/>
      <x:c r="G108" s="113"/>
      <x:c r="H108" s="113"/>
      <x:c r="I108" s="113"/>
      <x:c r="J108" s="113"/>
      <x:c r="K108" s="113"/>
      <x:c r="L108" s="113"/>
      <x:c r="M108" s="113"/>
      <x:c r="N108" s="113"/>
      <x:c r="O108" s="113"/>
    </x:row>
    <x:row r="109">
      <x:c r="A109" s="113"/>
      <x:c r="B109" s="113"/>
      <x:c r="C109" s="113"/>
      <x:c r="D109" s="113"/>
      <x:c r="E109" s="113"/>
      <x:c r="F109" s="113"/>
      <x:c r="G109" s="113"/>
      <x:c r="H109" s="113"/>
      <x:c r="I109" s="113"/>
      <x:c r="J109" s="113"/>
      <x:c r="K109" s="113"/>
      <x:c r="L109" s="113"/>
      <x:c r="M109" s="113"/>
      <x:c r="N109" s="113"/>
      <x:c r="O109" s="113"/>
    </x:row>
    <x:row r="110">
      <x:c r="A110" s="113"/>
      <x:c r="B110" s="113"/>
      <x:c r="C110" s="113"/>
      <x:c r="D110" s="113"/>
      <x:c r="E110" s="113"/>
      <x:c r="F110" s="113"/>
      <x:c r="G110" s="113"/>
      <x:c r="H110" s="113"/>
      <x:c r="I110" s="113"/>
      <x:c r="J110" s="113"/>
      <x:c r="K110" s="113"/>
      <x:c r="L110" s="113"/>
      <x:c r="M110" s="113"/>
      <x:c r="N110" s="113"/>
      <x:c r="O110" s="113"/>
    </x:row>
    <x:row r="111">
      <x:c r="A111" s="113"/>
      <x:c r="B111" s="113"/>
      <x:c r="C111" s="113"/>
      <x:c r="D111" s="113"/>
      <x:c r="E111" s="113"/>
      <x:c r="F111" s="113"/>
      <x:c r="G111" s="113"/>
      <x:c r="H111" s="113"/>
      <x:c r="I111" s="113"/>
      <x:c r="J111" s="113"/>
      <x:c r="K111" s="113"/>
      <x:c r="L111" s="113"/>
      <x:c r="M111" s="113"/>
      <x:c r="N111" s="113"/>
      <x:c r="O111" s="113"/>
    </x:row>
    <x:row r="112">
      <x:c r="A112" s="113"/>
      <x:c r="B112" s="113"/>
      <x:c r="C112" s="113"/>
      <x:c r="D112" s="113"/>
      <x:c r="E112" s="113"/>
      <x:c r="F112" s="113"/>
      <x:c r="G112" s="113"/>
      <x:c r="H112" s="113"/>
      <x:c r="I112" s="113"/>
      <x:c r="J112" s="113"/>
      <x:c r="K112" s="113"/>
      <x:c r="L112" s="113"/>
      <x:c r="M112" s="113"/>
      <x:c r="N112" s="113"/>
      <x:c r="O112" s="113"/>
    </x:row>
    <x:row r="113">
      <x:c r="A113" s="113"/>
      <x:c r="B113" s="113"/>
      <x:c r="C113" s="113"/>
      <x:c r="D113" s="113"/>
      <x:c r="E113" s="113"/>
      <x:c r="F113" s="113"/>
      <x:c r="G113" s="113"/>
      <x:c r="H113" s="113"/>
      <x:c r="I113" s="113"/>
      <x:c r="J113" s="113"/>
      <x:c r="K113" s="113"/>
      <x:c r="L113" s="113"/>
      <x:c r="M113" s="113"/>
      <x:c r="N113" s="113"/>
      <x:c r="O113" s="113"/>
    </x:row>
    <x:row r="114">
      <x:c r="A114" s="113"/>
      <x:c r="B114" s="113"/>
      <x:c r="C114" s="113"/>
      <x:c r="D114" s="113"/>
      <x:c r="E114" s="113"/>
      <x:c r="F114" s="113"/>
      <x:c r="G114" s="113"/>
      <x:c r="H114" s="113"/>
      <x:c r="I114" s="113"/>
      <x:c r="J114" s="113"/>
      <x:c r="K114" s="113"/>
      <x:c r="L114" s="113"/>
      <x:c r="M114" s="113"/>
      <x:c r="N114" s="113"/>
      <x:c r="O114" s="113"/>
    </x:row>
    <x:row r="115">
      <x:c r="A115" s="113"/>
      <x:c r="B115" s="113"/>
      <x:c r="C115" s="113"/>
      <x:c r="D115" s="113"/>
      <x:c r="E115" s="113"/>
      <x:c r="F115" s="113"/>
      <x:c r="G115" s="113"/>
      <x:c r="H115" s="113"/>
      <x:c r="I115" s="113"/>
      <x:c r="J115" s="113"/>
      <x:c r="K115" s="113"/>
      <x:c r="L115" s="113"/>
      <x:c r="M115" s="113"/>
      <x:c r="N115" s="113"/>
      <x:c r="O115" s="113"/>
    </x:row>
    <x:row r="116">
      <x:c r="A116" s="113"/>
      <x:c r="B116" s="113"/>
      <x:c r="C116" s="113"/>
      <x:c r="D116" s="113"/>
      <x:c r="E116" s="113"/>
      <x:c r="F116" s="113"/>
      <x:c r="G116" s="113"/>
      <x:c r="H116" s="113"/>
      <x:c r="I116" s="113"/>
      <x:c r="J116" s="113"/>
      <x:c r="K116" s="113"/>
      <x:c r="L116" s="113"/>
      <x:c r="M116" s="113"/>
      <x:c r="N116" s="113"/>
      <x:c r="O116" s="113"/>
    </x:row>
    <x:row r="117">
      <x:c r="A117" s="113"/>
      <x:c r="B117" s="113"/>
      <x:c r="C117" s="113"/>
      <x:c r="D117" s="113"/>
      <x:c r="E117" s="113"/>
      <x:c r="F117" s="113"/>
      <x:c r="G117" s="113"/>
      <x:c r="H117" s="113"/>
      <x:c r="I117" s="113"/>
      <x:c r="J117" s="113"/>
      <x:c r="K117" s="113"/>
      <x:c r="L117" s="113"/>
      <x:c r="M117" s="113"/>
      <x:c r="N117" s="113"/>
      <x:c r="O117" s="113"/>
    </x:row>
    <x:row r="118">
      <x:c r="A118" s="113"/>
      <x:c r="B118" s="113"/>
      <x:c r="C118" s="113"/>
      <x:c r="D118" s="113"/>
      <x:c r="E118" s="113"/>
      <x:c r="F118" s="113"/>
      <x:c r="G118" s="113"/>
      <x:c r="H118" s="113"/>
      <x:c r="I118" s="113"/>
      <x:c r="J118" s="113"/>
      <x:c r="K118" s="113"/>
      <x:c r="L118" s="113"/>
      <x:c r="M118" s="113"/>
      <x:c r="N118" s="113"/>
      <x:c r="O118" s="113"/>
    </x:row>
    <x:row r="119">
      <x:c r="A119" s="113"/>
      <x:c r="B119" s="113"/>
      <x:c r="C119" s="113"/>
      <x:c r="D119" s="113"/>
      <x:c r="E119" s="113"/>
      <x:c r="F119" s="113"/>
      <x:c r="G119" s="113"/>
      <x:c r="H119" s="113"/>
      <x:c r="I119" s="113"/>
      <x:c r="J119" s="113"/>
      <x:c r="K119" s="113"/>
      <x:c r="L119" s="113"/>
      <x:c r="M119" s="113"/>
      <x:c r="N119" s="113"/>
      <x:c r="O119" s="113"/>
    </x:row>
    <x:row r="120">
      <x:c r="A120" s="113"/>
      <x:c r="B120" s="113"/>
      <x:c r="C120" s="113"/>
      <x:c r="D120" s="113"/>
      <x:c r="E120" s="113"/>
      <x:c r="F120" s="113"/>
      <x:c r="G120" s="113"/>
      <x:c r="H120" s="113"/>
      <x:c r="I120" s="113"/>
      <x:c r="J120" s="113"/>
      <x:c r="K120" s="113"/>
      <x:c r="L120" s="113"/>
      <x:c r="M120" s="113"/>
      <x:c r="N120" s="113"/>
      <x:c r="O120" s="113"/>
    </x:row>
  </x:sheetData>
  <x:mergeCells>
    <x:mergeCell ref="A1:L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28" hidden="0" customWidth="1"/>
    <x:col min="8" max="8" width="18" hidden="0" customWidth="1"/>
    <x:col min="9" max="9" width="24" hidden="0" customWidth="1"/>
    <x:col min="10" max="10" width="12" hidden="0" customWidth="1"/>
    <x:col min="11" max="11" width="12" hidden="0" customWidth="1"/>
    <x:col min="12" max="12" width="28" hidden="0" customWidth="1"/>
  </x:cols>
  <x:sheetData>
    <x:row r="1" ht="28" customHeight="1">
      <x:c r="A1" s="77" t="str">
        <x:v>功能、性能、安全、故障和灾备验收用例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113"/>
      <x:c r="N1" s="113"/>
      <x:c r="O1" s="113"/>
    </x:row>
    <x:row r="2">
      <x:c r="A2" s="113"/>
      <x:c r="B2" s="113"/>
      <x:c r="C2" s="113"/>
      <x:c r="D2" s="113"/>
      <x:c r="E2" s="113"/>
      <x:c r="F2" s="113"/>
      <x:c r="G2" s="113"/>
      <x:c r="H2" s="113"/>
      <x:c r="I2" s="113"/>
      <x:c r="J2" s="113"/>
      <x:c r="K2" s="113"/>
      <x:c r="L2" s="113"/>
      <x:c r="M2" s="113"/>
      <x:c r="N2" s="113"/>
      <x:c r="O2" s="113"/>
    </x:row>
    <x:row r="3">
      <x:c r="A3" s="113"/>
      <x:c r="B3" s="113"/>
      <x:c r="C3" s="113"/>
      <x:c r="D3" s="113"/>
      <x:c r="E3" s="113"/>
      <x:c r="F3" s="113"/>
      <x:c r="G3" s="113"/>
      <x:c r="H3" s="113"/>
      <x:c r="I3" s="113"/>
      <x:c r="J3" s="113"/>
      <x:c r="K3" s="113"/>
      <x:c r="L3" s="113"/>
      <x:c r="M3" s="113"/>
      <x:c r="N3" s="113"/>
      <x:c r="O3" s="113"/>
    </x:row>
    <x:row r="4">
      <x:c r="A4" s="80" t="str">
        <x:v>用例编号</x:v>
      </x:c>
      <x:c r="B4" s="81" t="str">
        <x:v>类别</x:v>
      </x:c>
      <x:c r="C4" s="81" t="str">
        <x:v>场景</x:v>
      </x:c>
      <x:c r="D4" s="81" t="str">
        <x:v>前置条件</x:v>
      </x:c>
      <x:c r="E4" s="81" t="str">
        <x:v>步骤摘要</x:v>
      </x:c>
      <x:c r="F4" s="81" t="str">
        <x:v>预期结果</x:v>
      </x:c>
      <x:c r="G4" s="81" t="str">
        <x:v>通过标准</x:v>
      </x:c>
      <x:c r="H4" s="81" t="str">
        <x:v>责任人</x:v>
      </x:c>
      <x:c r="I4" s="81" t="str">
        <x:v>证据</x:v>
      </x:c>
      <x:c r="J4" s="81" t="str">
        <x:v>优先级</x:v>
      </x:c>
      <x:c r="K4" s="81" t="str">
        <x:v>状态</x:v>
      </x:c>
      <x:c r="L4" s="82" t="str">
        <x:v>备注</x:v>
      </x:c>
      <x:c r="M4" s="113"/>
      <x:c r="N4" s="113"/>
      <x:c r="O4" s="113"/>
    </x:row>
    <x:row r="5">
      <x:c r="A5" s="115" t="str">
        <x:v>UAT-MPI-001</x:v>
      </x:c>
      <x:c r="B5" s="116" t="str">
        <x:v>功能</x:v>
      </x:c>
      <x:c r="C5" s="116" t="str">
        <x:v>同一患者多系统匹配</x:v>
      </x:c>
      <x:c r="D5" s="116" t="str">
        <x:v>HIS/EMR各一条同人记录</x:v>
      </x:c>
      <x:c r="E5" s="116" t="str">
        <x:v>导入并运行匹配</x:v>
      </x:c>
      <x:c r="F5" s="116" t="str">
        <x:v>同一empiNo，xref完整</x:v>
      </x:c>
      <x:c r="G5" s="116" t="str">
        <x:v>候选与金记录一致，审计完整</x:v>
      </x:c>
      <x:c r="H5" s="116" t="str">
        <x:v>EMPI组</x:v>
      </x:c>
      <x:c r="I5" s="116" t="str">
        <x:v>截图/SQL/日志</x:v>
      </x:c>
      <x:c r="J5" s="116" t="str">
        <x:v>P0</x:v>
      </x:c>
      <x:c r="K5" s="116" t="str">
        <x:v>未执行</x:v>
      </x:c>
      <x:c r="L5" s="119" t="str"/>
      <x:c r="M5" s="113"/>
      <x:c r="N5" s="113"/>
      <x:c r="O5" s="113"/>
    </x:row>
    <x:row r="6">
      <x:c r="A6" s="115" t="str">
        <x:v>UAT-MPI-002</x:v>
      </x:c>
      <x:c r="B6" s="116" t="str">
        <x:v>安全</x:v>
      </x:c>
      <x:c r="C6" s="116" t="str">
        <x:v>冲突证件禁止自动合并</x:v>
      </x:c>
      <x:c r="D6" s="116" t="str">
        <x:v>两条记录姓名相同但证件冲突</x:v>
      </x:c>
      <x:c r="E6" s="116" t="str">
        <x:v>触发匹配</x:v>
      </x:c>
      <x:c r="F6" s="116" t="str">
        <x:v>进入人工审核</x:v>
      </x:c>
      <x:c r="G6" s="116" t="str">
        <x:v>自动合并数=0</x:v>
      </x:c>
      <x:c r="H6" s="116" t="str">
        <x:v>医务/病案</x:v>
      </x:c>
      <x:c r="I6" s="116" t="str">
        <x:v>仲裁记录</x:v>
      </x:c>
      <x:c r="J6" s="116" t="str">
        <x:v>P0</x:v>
      </x:c>
      <x:c r="K6" s="116" t="str">
        <x:v>未执行</x:v>
      </x:c>
      <x:c r="L6" s="119" t="str"/>
      <x:c r="M6" s="113"/>
      <x:c r="N6" s="113"/>
      <x:c r="O6" s="113"/>
    </x:row>
    <x:row r="7">
      <x:c r="A7" s="115" t="str">
        <x:v>UAT-MPI-003</x:v>
      </x:c>
      <x:c r="B7" s="116" t="str">
        <x:v>回滚</x:v>
      </x:c>
      <x:c r="C7" s="116" t="str">
        <x:v>错误合并回滚</x:v>
      </x:c>
      <x:c r="D7" s="116" t="str">
        <x:v>已完成一次测试合并</x:v>
      </x:c>
      <x:c r="E7" s="116" t="str">
        <x:v>执行回滚令牌</x:v>
      </x:c>
      <x:c r="F7" s="116" t="str">
        <x:v>恢复前一版本并发补偿事件</x:v>
      </x:c>
      <x:c r="G7" s="116" t="str">
        <x:v>源映射/金记录/下游一致</x:v>
      </x:c>
      <x:c r="H7" s="116" t="str">
        <x:v>EMPI/集成</x:v>
      </x:c>
      <x:c r="I7" s="116" t="str">
        <x:v>快照/事件</x:v>
      </x:c>
      <x:c r="J7" s="116" t="str">
        <x:v>P0</x:v>
      </x:c>
      <x:c r="K7" s="116" t="str">
        <x:v>未执行</x:v>
      </x:c>
      <x:c r="L7" s="119" t="str"/>
      <x:c r="M7" s="113"/>
      <x:c r="N7" s="113"/>
      <x:c r="O7" s="113"/>
    </x:row>
    <x:row r="8">
      <x:c r="A8" s="115" t="str">
        <x:v>UAT-ORG-001</x:v>
      </x:c>
      <x:c r="B8" s="116" t="str">
        <x:v>功能</x:v>
      </x:c>
      <x:c r="C8" s="116" t="str">
        <x:v>科室撤并版本化</x:v>
      </x:c>
      <x:c r="D8" s="116" t="str">
        <x:v>存在历史科室</x:v>
      </x:c>
      <x:c r="E8" s="116" t="str">
        <x:v>提交撤并、审批、发布</x:v>
      </x:c>
      <x:c r="F8" s="116" t="str">
        <x:v>历史可查，新业务用新科室</x:v>
      </x:c>
      <x:c r="G8" s="116" t="str">
        <x:v>无物理删除；下游5分钟内更新</x:v>
      </x:c>
      <x:c r="H8" s="116" t="str">
        <x:v>组织人事</x:v>
      </x:c>
      <x:c r="I8" s="116" t="str">
        <x:v>版本与事件</x:v>
      </x:c>
      <x:c r="J8" s="116" t="str">
        <x:v>P0</x:v>
      </x:c>
      <x:c r="K8" s="116" t="str">
        <x:v>未执行</x:v>
      </x:c>
      <x:c r="L8" s="119" t="str"/>
      <x:c r="M8" s="113"/>
      <x:c r="N8" s="113"/>
      <x:c r="O8" s="113"/>
    </x:row>
    <x:row r="9">
      <x:c r="A9" s="115" t="str">
        <x:v>UAT-REF-001</x:v>
      </x:c>
      <x:c r="B9" s="116" t="str">
        <x:v>标准</x:v>
      </x:c>
      <x:c r="C9" s="116" t="str">
        <x:v>值域版本发布</x:v>
      </x:c>
      <x:c r="D9" s="116" t="str">
        <x:v>值域v1已使用</x:v>
      </x:c>
      <x:c r="E9" s="116" t="str">
        <x:v>发布v2</x:v>
      </x:c>
      <x:c r="F9" s="116" t="str">
        <x:v>v1历史查询可用，v2按生效日启用</x:v>
      </x:c>
      <x:c r="G9" s="116" t="str">
        <x:v>checksum、ETag、版本均正确</x:v>
      </x:c>
      <x:c r="H9" s="116" t="str">
        <x:v>标准组</x:v>
      </x:c>
      <x:c r="I9" s="116" t="str">
        <x:v>发布包</x:v>
      </x:c>
      <x:c r="J9" s="116" t="str">
        <x:v>P0</x:v>
      </x:c>
      <x:c r="K9" s="116" t="str">
        <x:v>未执行</x:v>
      </x:c>
      <x:c r="L9" s="119" t="str"/>
      <x:c r="M9" s="113"/>
      <x:c r="N9" s="113"/>
      <x:c r="O9" s="113"/>
    </x:row>
    <x:row r="10">
      <x:c r="A10" s="115" t="str">
        <x:v>UAT-DQ-001</x:v>
      </x:c>
      <x:c r="B10" s="116" t="str">
        <x:v>质量</x:v>
      </x:c>
      <x:c r="C10" s="116" t="str">
        <x:v>阻断规则失败</x:v>
      </x:c>
      <x:c r="D10" s="116" t="str">
        <x:v>构造非法性别码</x:v>
      </x:c>
      <x:c r="E10" s="116" t="str">
        <x:v>运行质量门禁</x:v>
      </x:c>
      <x:c r="F10" s="116" t="str">
        <x:v>发布被阻断并生成工单</x:v>
      </x:c>
      <x:c r="G10" s="116" t="str">
        <x:v>工单含Owner/时限/证据</x:v>
      </x:c>
      <x:c r="H10" s="116" t="str">
        <x:v>质量组</x:v>
      </x:c>
      <x:c r="I10" s="116" t="str">
        <x:v>工单/日志</x:v>
      </x:c>
      <x:c r="J10" s="116" t="str">
        <x:v>P0</x:v>
      </x:c>
      <x:c r="K10" s="116" t="str">
        <x:v>未执行</x:v>
      </x:c>
      <x:c r="L10" s="119" t="str"/>
      <x:c r="M10" s="113"/>
      <x:c r="N10" s="113"/>
      <x:c r="O10" s="113"/>
    </x:row>
    <x:row r="11">
      <x:c r="A11" s="115" t="str">
        <x:v>UAT-API-001</x:v>
      </x:c>
      <x:c r="B11" s="116" t="str">
        <x:v>接口</x:v>
      </x:c>
      <x:c r="C11" s="116" t="str">
        <x:v>幂等写请求</x:v>
      </x:c>
      <x:c r="D11" s="116" t="str">
        <x:v>同一Idempotency-Key</x:v>
      </x:c>
      <x:c r="E11" s="116" t="str">
        <x:v>重复提交10次</x:v>
      </x:c>
      <x:c r="F11" s="116" t="str">
        <x:v>仅产生一次业务变更</x:v>
      </x:c>
      <x:c r="G11" s="116" t="str">
        <x:v>无重复记录或事件</x:v>
      </x:c>
      <x:c r="H11" s="116" t="str">
        <x:v>API组</x:v>
      </x:c>
      <x:c r="I11" s="116" t="str">
        <x:v>接口日志</x:v>
      </x:c>
      <x:c r="J11" s="116" t="str">
        <x:v>P0</x:v>
      </x:c>
      <x:c r="K11" s="116" t="str">
        <x:v>未执行</x:v>
      </x:c>
      <x:c r="L11" s="119" t="str"/>
      <x:c r="M11" s="113"/>
      <x:c r="N11" s="113"/>
      <x:c r="O11" s="113"/>
    </x:row>
    <x:row r="12">
      <x:c r="A12" s="115" t="str">
        <x:v>UAT-KAFKA-001</x:v>
      </x:c>
      <x:c r="B12" s="116" t="str">
        <x:v>可靠性</x:v>
      </x:c>
      <x:c r="C12" s="116" t="str">
        <x:v>消费者断开后补偿</x:v>
      </x:c>
      <x:c r="D12" s="116" t="str">
        <x:v>停止消费者30分钟</x:v>
      </x:c>
      <x:c r="E12" s="116" t="str">
        <x:v>恢复消费</x:v>
      </x:c>
      <x:c r="F12" s="116" t="str">
        <x:v>无丢失，重复事件无副作用</x:v>
      </x:c>
      <x:c r="G12" s="116" t="str">
        <x:v>位点、DLQ、业务对账一致</x:v>
      </x:c>
      <x:c r="H12" s="116" t="str">
        <x:v>事件平台</x:v>
      </x:c>
      <x:c r="I12" s="116" t="str">
        <x:v>Lag/对账</x:v>
      </x:c>
      <x:c r="J12" s="116" t="str">
        <x:v>P0</x:v>
      </x:c>
      <x:c r="K12" s="116" t="str">
        <x:v>未执行</x:v>
      </x:c>
      <x:c r="L12" s="119" t="str"/>
      <x:c r="M12" s="113"/>
      <x:c r="N12" s="113"/>
      <x:c r="O12" s="113"/>
    </x:row>
    <x:row r="13">
      <x:c r="A13" s="115" t="str">
        <x:v>PERF-API-001</x:v>
      </x:c>
      <x:c r="B13" s="116" t="str">
        <x:v>性能</x:v>
      </x:c>
      <x:c r="C13" s="116" t="str">
        <x:v>主数据查询峰值</x:v>
      </x:c>
      <x:c r="D13" s="116" t="str">
        <x:v>压测数据与缓存预热</x:v>
      </x:c>
      <x:c r="E13" s="116" t="str">
        <x:v>3000QPS持续2小时</x:v>
      </x:c>
      <x:c r="F13" s="116" t="str">
        <x:v>P95&lt;=500ms，5xx&lt;0.1%</x:v>
      </x:c>
      <x:c r="G13" s="116" t="str">
        <x:v>资源无红线、无错误放大</x:v>
      </x:c>
      <x:c r="H13" s="116" t="str">
        <x:v>性能组</x:v>
      </x:c>
      <x:c r="I13" s="116" t="str">
        <x:v>压测报告</x:v>
      </x:c>
      <x:c r="J13" s="116" t="str">
        <x:v>P0</x:v>
      </x:c>
      <x:c r="K13" s="116" t="str">
        <x:v>未执行</x:v>
      </x:c>
      <x:c r="L13" s="119" t="str"/>
      <x:c r="M13" s="113"/>
      <x:c r="N13" s="113"/>
      <x:c r="O13" s="113"/>
    </x:row>
    <x:row r="14">
      <x:c r="A14" s="115" t="str">
        <x:v>PERF-CDC-001</x:v>
      </x:c>
      <x:c r="B14" s="116" t="str">
        <x:v>性能</x:v>
      </x:c>
      <x:c r="C14" s="116" t="str">
        <x:v>CDC峰值与回灌隔离</x:v>
      </x:c>
      <x:c r="D14" s="116" t="str">
        <x:v>模拟3万事件/秒+历史回灌</x:v>
      </x:c>
      <x:c r="E14" s="116" t="str">
        <x:v>持续2小时</x:v>
      </x:c>
      <x:c r="F14" s="116" t="str">
        <x:v>无丢失，临床库影响可控</x:v>
      </x:c>
      <x:c r="G14" s="116" t="str">
        <x:v>源库指标在批准范围</x:v>
      </x:c>
      <x:c r="H14" s="116" t="str">
        <x:v>DBA/集成</x:v>
      </x:c>
      <x:c r="I14" s="116" t="str">
        <x:v>监控报告</x:v>
      </x:c>
      <x:c r="J14" s="116" t="str">
        <x:v>P0</x:v>
      </x:c>
      <x:c r="K14" s="116" t="str">
        <x:v>未执行</x:v>
      </x:c>
      <x:c r="L14" s="119" t="str"/>
      <x:c r="M14" s="113"/>
      <x:c r="N14" s="113"/>
      <x:c r="O14" s="113"/>
    </x:row>
    <x:row r="15">
      <x:c r="A15" s="115" t="str">
        <x:v>HA-PG-001</x:v>
      </x:c>
      <x:c r="B15" s="116" t="str">
        <x:v>HA</x:v>
      </x:c>
      <x:c r="C15" s="116" t="str">
        <x:v>PostgreSQL主节点故障</x:v>
      </x:c>
      <x:c r="D15" s="116" t="str">
        <x:v>三节点正常</x:v>
      </x:c>
      <x:c r="E15" s="116" t="str">
        <x:v>强制主节点下线</x:v>
      </x:c>
      <x:c r="F15" s="116" t="str">
        <x:v>10分钟内恢复写入，RPO=0</x:v>
      </x:c>
      <x:c r="G15" s="116" t="str">
        <x:v>无双主，应用自动重连</x:v>
      </x:c>
      <x:c r="H15" s="116" t="str">
        <x:v>DBA</x:v>
      </x:c>
      <x:c r="I15" s="116" t="str">
        <x:v>时间线/日志</x:v>
      </x:c>
      <x:c r="J15" s="116" t="str">
        <x:v>P0</x:v>
      </x:c>
      <x:c r="K15" s="116" t="str">
        <x:v>未执行</x:v>
      </x:c>
      <x:c r="L15" s="119" t="str"/>
      <x:c r="M15" s="113"/>
      <x:c r="N15" s="113"/>
      <x:c r="O15" s="113"/>
    </x:row>
    <x:row r="16">
      <x:c r="A16" s="115" t="str">
        <x:v>HA-KAFKA-001</x:v>
      </x:c>
      <x:c r="B16" s="116" t="str">
        <x:v>HA</x:v>
      </x:c>
      <x:c r="C16" s="116" t="str">
        <x:v>Kafka Broker故障</x:v>
      </x:c>
      <x:c r="D16" s="116" t="str">
        <x:v>RF3/minISR2</x:v>
      </x:c>
      <x:c r="E16" s="116" t="str">
        <x:v>下线一个Broker</x:v>
      </x:c>
      <x:c r="F16" s="116" t="str">
        <x:v>生产消费持续，无丢失</x:v>
      </x:c>
      <x:c r="G16" s="116" t="str">
        <x:v>UnderReplicated恢复</x:v>
      </x:c>
      <x:c r="H16" s="116" t="str">
        <x:v>事件平台</x:v>
      </x:c>
      <x:c r="I16" s="116" t="str">
        <x:v>监控/对账</x:v>
      </x:c>
      <x:c r="J16" s="116" t="str">
        <x:v>P0</x:v>
      </x:c>
      <x:c r="K16" s="116" t="str">
        <x:v>未执行</x:v>
      </x:c>
      <x:c r="L16" s="119" t="str"/>
      <x:c r="M16" s="113"/>
      <x:c r="N16" s="113"/>
      <x:c r="O16" s="113"/>
    </x:row>
    <x:row r="17">
      <x:c r="A17" s="115" t="str">
        <x:v>DR-001</x:v>
      </x:c>
      <x:c r="B17" s="116" t="str">
        <x:v>灾备</x:v>
      </x:c>
      <x:c r="C17" s="116" t="str">
        <x:v>生产中心整体失效</x:v>
      </x:c>
      <x:c r="D17" s="116" t="str">
        <x:v>灾备同步正常</x:v>
      </x:c>
      <x:c r="E17" s="116" t="str">
        <x:v>按手册切换</x:v>
      </x:c>
      <x:c r="F17" s="116" t="str">
        <x:v>30分钟内关键服务接管</x:v>
      </x:c>
      <x:c r="G17" s="116" t="str">
        <x:v>RPO&lt;=5分钟，审计连续</x:v>
      </x:c>
      <x:c r="H17" s="116" t="str">
        <x:v>应急组</x:v>
      </x:c>
      <x:c r="I17" s="116" t="str">
        <x:v>演练报告</x:v>
      </x:c>
      <x:c r="J17" s="116" t="str">
        <x:v>P0</x:v>
      </x:c>
      <x:c r="K17" s="116" t="str">
        <x:v>未执行</x:v>
      </x:c>
      <x:c r="L17" s="119" t="str"/>
      <x:c r="M17" s="113"/>
      <x:c r="N17" s="113"/>
      <x:c r="O17" s="113"/>
    </x:row>
    <x:row r="18">
      <x:c r="A18" s="115" t="str">
        <x:v>SEC-001</x:v>
      </x:c>
      <x:c r="B18" s="116" t="str">
        <x:v>安全</x:v>
      </x:c>
      <x:c r="C18" s="116" t="str">
        <x:v>越权字段访问</x:v>
      </x:c>
      <x:c r="D18" s="116" t="str">
        <x:v>普通报表用户</x:v>
      </x:c>
      <x:c r="E18" s="116" t="str">
        <x:v>请求身份证明文</x:v>
      </x:c>
      <x:c r="F18" s="116" t="str">
        <x:v>拒绝或脱敏并记录审计</x:v>
      </x:c>
      <x:c r="G18" s="116" t="str">
        <x:v>策略与审计100%生效</x:v>
      </x:c>
      <x:c r="H18" s="116" t="str">
        <x:v>安全组</x:v>
      </x:c>
      <x:c r="I18" s="116" t="str">
        <x:v>策略/审计</x:v>
      </x:c>
      <x:c r="J18" s="116" t="str">
        <x:v>P0</x:v>
      </x:c>
      <x:c r="K18" s="116" t="str">
        <x:v>未执行</x:v>
      </x:c>
      <x:c r="L18" s="119" t="str"/>
      <x:c r="M18" s="113"/>
      <x:c r="N18" s="113"/>
      <x:c r="O18" s="113"/>
    </x:row>
    <x:row r="19">
      <x:c r="A19" s="115" t="str">
        <x:v>SEC-002</x:v>
      </x:c>
      <x:c r="B19" s="116" t="str">
        <x:v>安全</x:v>
      </x:c>
      <x:c r="C19" s="116" t="str">
        <x:v>科研数据导出</x:v>
      </x:c>
      <x:c r="D19" s="116" t="str">
        <x:v>审批后的去标识数据集</x:v>
      </x:c>
      <x:c r="E19" s="116" t="str">
        <x:v>申请下载并导出结果</x:v>
      </x:c>
      <x:c r="F19" s="116" t="str">
        <x:v>水印、时限、字段和结果审查生效</x:v>
      </x:c>
      <x:c r="G19" s="116" t="str">
        <x:v>不可绕过审批</x:v>
      </x:c>
      <x:c r="H19" s="116" t="str">
        <x:v>科研/安全</x:v>
      </x:c>
      <x:c r="I19" s="116" t="str">
        <x:v>审批/水印</x:v>
      </x:c>
      <x:c r="J19" s="116" t="str">
        <x:v>P0</x:v>
      </x:c>
      <x:c r="K19" s="116" t="str">
        <x:v>未执行</x:v>
      </x:c>
      <x:c r="L19" s="119" t="str"/>
      <x:c r="M19" s="113"/>
      <x:c r="N19" s="113"/>
      <x:c r="O19" s="113"/>
    </x:row>
    <x:row r="20">
      <x:c r="A20" s="121" t="str">
        <x:v>OPS-001</x:v>
      </x:c>
      <x:c r="B20" s="123" t="str">
        <x:v>恢复</x:v>
      </x:c>
      <x:c r="C20" s="123" t="str">
        <x:v>备份恢复到隔离环境</x:v>
      </x:c>
      <x:c r="D20" s="123" t="str">
        <x:v>最近备份存在</x:v>
      </x:c>
      <x:c r="E20" s="123" t="str">
        <x:v>恢复PG/Ceph/OpenSearch</x:v>
      </x:c>
      <x:c r="F20" s="123" t="str">
        <x:v>关键查询、API、目录可用</x:v>
      </x:c>
      <x:c r="G20" s="123" t="str">
        <x:v>校验零错误，耗时达标</x:v>
      </x:c>
      <x:c r="H20" s="123" t="str">
        <x:v>SRE/DBA</x:v>
      </x:c>
      <x:c r="I20" s="123" t="str">
        <x:v>恢复报告</x:v>
      </x:c>
      <x:c r="J20" s="123" t="str">
        <x:v>P0</x:v>
      </x:c>
      <x:c r="K20" s="123" t="str">
        <x:v>未执行</x:v>
      </x:c>
      <x:c r="L20" s="124" t="str"/>
      <x:c r="M20" s="113"/>
      <x:c r="N20" s="113"/>
      <x:c r="O20" s="113"/>
    </x:row>
    <x:row r="21">
      <x:c r="A21" s="113"/>
      <x:c r="B21" s="113"/>
      <x:c r="C21" s="113"/>
      <x:c r="D21" s="113"/>
      <x:c r="E21" s="113"/>
      <x:c r="F21" s="113"/>
      <x:c r="G21" s="113"/>
      <x:c r="H21" s="113"/>
      <x:c r="I21" s="113"/>
      <x:c r="J21" s="113"/>
      <x:c r="K21" s="113"/>
      <x:c r="L21" s="113"/>
      <x:c r="M21" s="113"/>
      <x:c r="N21" s="113"/>
      <x:c r="O21" s="113"/>
    </x:row>
    <x:row r="22">
      <x:c r="A22" s="113"/>
      <x:c r="B22" s="113"/>
      <x:c r="C22" s="113"/>
      <x:c r="D22" s="113"/>
      <x:c r="E22" s="113"/>
      <x:c r="F22" s="113"/>
      <x:c r="G22" s="113"/>
      <x:c r="H22" s="113"/>
      <x:c r="I22" s="113"/>
      <x:c r="J22" s="113"/>
      <x:c r="K22" s="113"/>
      <x:c r="L22" s="113"/>
      <x:c r="M22" s="113"/>
      <x:c r="N22" s="113"/>
      <x:c r="O22" s="113"/>
    </x:row>
    <x:row r="23">
      <x:c r="A23" s="113"/>
      <x:c r="B23" s="113"/>
      <x:c r="C23" s="113"/>
      <x:c r="D23" s="113"/>
      <x:c r="E23" s="113"/>
      <x:c r="F23" s="113"/>
      <x:c r="G23" s="113"/>
      <x:c r="H23" s="113"/>
      <x:c r="I23" s="113"/>
      <x:c r="J23" s="113"/>
      <x:c r="K23" s="113"/>
      <x:c r="L23" s="113"/>
      <x:c r="M23" s="113"/>
      <x:c r="N23" s="113"/>
      <x:c r="O23" s="113"/>
    </x:row>
    <x:row r="24">
      <x:c r="A24" s="113"/>
      <x:c r="B24" s="113"/>
      <x:c r="C24" s="113"/>
      <x:c r="D24" s="113"/>
      <x:c r="E24" s="113"/>
      <x:c r="F24" s="113"/>
      <x:c r="G24" s="113"/>
      <x:c r="H24" s="113"/>
      <x:c r="I24" s="113"/>
      <x:c r="J24" s="113"/>
      <x:c r="K24" s="113"/>
      <x:c r="L24" s="113"/>
      <x:c r="M24" s="113"/>
      <x:c r="N24" s="113"/>
      <x:c r="O24" s="113"/>
    </x:row>
    <x:row r="25">
      <x:c r="A25" s="113"/>
      <x:c r="B25" s="113"/>
      <x:c r="C25" s="113"/>
      <x:c r="D25" s="113"/>
      <x:c r="E25" s="113"/>
      <x:c r="F25" s="113"/>
      <x:c r="G25" s="113"/>
      <x:c r="H25" s="113"/>
      <x:c r="I25" s="113"/>
      <x:c r="J25" s="113"/>
      <x:c r="K25" s="113"/>
      <x:c r="L25" s="113"/>
      <x:c r="M25" s="113"/>
      <x:c r="N25" s="113"/>
      <x:c r="O25" s="113"/>
    </x:row>
    <x:row r="26">
      <x:c r="A26" s="113"/>
      <x:c r="B26" s="113"/>
      <x:c r="C26" s="113"/>
      <x:c r="D26" s="113"/>
      <x:c r="E26" s="113"/>
      <x:c r="F26" s="113"/>
      <x:c r="G26" s="113"/>
      <x:c r="H26" s="113"/>
      <x:c r="I26" s="113"/>
      <x:c r="J26" s="113"/>
      <x:c r="K26" s="113"/>
      <x:c r="L26" s="113"/>
      <x:c r="M26" s="113"/>
      <x:c r="N26" s="113"/>
      <x:c r="O26" s="113"/>
    </x:row>
    <x:row r="27">
      <x:c r="A27" s="113"/>
      <x:c r="B27" s="113"/>
      <x:c r="C27" s="113"/>
      <x:c r="D27" s="113"/>
      <x:c r="E27" s="113"/>
      <x:c r="F27" s="113"/>
      <x:c r="G27" s="113"/>
      <x:c r="H27" s="113"/>
      <x:c r="I27" s="113"/>
      <x:c r="J27" s="113"/>
      <x:c r="K27" s="113"/>
      <x:c r="L27" s="113"/>
      <x:c r="M27" s="113"/>
      <x:c r="N27" s="113"/>
      <x:c r="O27" s="113"/>
    </x:row>
    <x:row r="28">
      <x:c r="A28" s="113"/>
      <x:c r="B28" s="113"/>
      <x:c r="C28" s="113"/>
      <x:c r="D28" s="113"/>
      <x:c r="E28" s="113"/>
      <x:c r="F28" s="113"/>
      <x:c r="G28" s="113"/>
      <x:c r="H28" s="113"/>
      <x:c r="I28" s="113"/>
      <x:c r="J28" s="113"/>
      <x:c r="K28" s="113"/>
      <x:c r="L28" s="113"/>
      <x:c r="M28" s="113"/>
      <x:c r="N28" s="113"/>
      <x:c r="O28" s="113"/>
    </x:row>
    <x:row r="29">
      <x:c r="A29" s="113"/>
      <x:c r="B29" s="113"/>
      <x:c r="C29" s="113"/>
      <x:c r="D29" s="113"/>
      <x:c r="E29" s="113"/>
      <x:c r="F29" s="113"/>
      <x:c r="G29" s="113"/>
      <x:c r="H29" s="113"/>
      <x:c r="I29" s="113"/>
      <x:c r="J29" s="113"/>
      <x:c r="K29" s="113"/>
      <x:c r="L29" s="113"/>
      <x:c r="M29" s="113"/>
      <x:c r="N29" s="113"/>
      <x:c r="O29" s="113"/>
    </x:row>
    <x:row r="30">
      <x:c r="A30" s="113"/>
      <x:c r="B30" s="113"/>
      <x:c r="C30" s="113"/>
      <x:c r="D30" s="113"/>
      <x:c r="E30" s="113"/>
      <x:c r="F30" s="113"/>
      <x:c r="G30" s="113"/>
      <x:c r="H30" s="113"/>
      <x:c r="I30" s="113"/>
      <x:c r="J30" s="113"/>
      <x:c r="K30" s="113"/>
      <x:c r="L30" s="113"/>
      <x:c r="M30" s="113"/>
      <x:c r="N30" s="113"/>
      <x:c r="O30" s="113"/>
    </x:row>
    <x:row r="31">
      <x:c r="A31" s="113"/>
      <x:c r="B31" s="113"/>
      <x:c r="C31" s="113"/>
      <x:c r="D31" s="113"/>
      <x:c r="E31" s="113"/>
      <x:c r="F31" s="113"/>
      <x:c r="G31" s="113"/>
      <x:c r="H31" s="113"/>
      <x:c r="I31" s="113"/>
      <x:c r="J31" s="113"/>
      <x:c r="K31" s="113"/>
      <x:c r="L31" s="113"/>
      <x:c r="M31" s="113"/>
      <x:c r="N31" s="113"/>
      <x:c r="O31" s="113"/>
    </x:row>
    <x:row r="32">
      <x:c r="A32" s="113"/>
      <x:c r="B32" s="113"/>
      <x:c r="C32" s="113"/>
      <x:c r="D32" s="113"/>
      <x:c r="E32" s="113"/>
      <x:c r="F32" s="113"/>
      <x:c r="G32" s="113"/>
      <x:c r="H32" s="113"/>
      <x:c r="I32" s="113"/>
      <x:c r="J32" s="113"/>
      <x:c r="K32" s="113"/>
      <x:c r="L32" s="113"/>
      <x:c r="M32" s="113"/>
      <x:c r="N32" s="113"/>
      <x:c r="O32" s="113"/>
    </x:row>
    <x:row r="33">
      <x:c r="A33" s="113"/>
      <x:c r="B33" s="113"/>
      <x:c r="C33" s="113"/>
      <x:c r="D33" s="113"/>
      <x:c r="E33" s="113"/>
      <x:c r="F33" s="113"/>
      <x:c r="G33" s="113"/>
      <x:c r="H33" s="113"/>
      <x:c r="I33" s="113"/>
      <x:c r="J33" s="113"/>
      <x:c r="K33" s="113"/>
      <x:c r="L33" s="113"/>
      <x:c r="M33" s="113"/>
      <x:c r="N33" s="113"/>
      <x:c r="O33" s="113"/>
    </x:row>
    <x:row r="34">
      <x:c r="A34" s="113"/>
      <x:c r="B34" s="113"/>
      <x:c r="C34" s="113"/>
      <x:c r="D34" s="113"/>
      <x:c r="E34" s="113"/>
      <x:c r="F34" s="113"/>
      <x:c r="G34" s="113"/>
      <x:c r="H34" s="113"/>
      <x:c r="I34" s="113"/>
      <x:c r="J34" s="113"/>
      <x:c r="K34" s="113"/>
      <x:c r="L34" s="113"/>
      <x:c r="M34" s="113"/>
      <x:c r="N34" s="113"/>
      <x:c r="O34" s="113"/>
    </x:row>
    <x:row r="35">
      <x:c r="A35" s="113"/>
      <x:c r="B35" s="113"/>
      <x:c r="C35" s="113"/>
      <x:c r="D35" s="113"/>
      <x:c r="E35" s="113"/>
      <x:c r="F35" s="113"/>
      <x:c r="G35" s="113"/>
      <x:c r="H35" s="113"/>
      <x:c r="I35" s="113"/>
      <x:c r="J35" s="113"/>
      <x:c r="K35" s="113"/>
      <x:c r="L35" s="113"/>
      <x:c r="M35" s="113"/>
      <x:c r="N35" s="113"/>
      <x:c r="O35" s="113"/>
    </x:row>
    <x:row r="36">
      <x:c r="A36" s="113"/>
      <x:c r="B36" s="113"/>
      <x:c r="C36" s="113"/>
      <x:c r="D36" s="113"/>
      <x:c r="E36" s="113"/>
      <x:c r="F36" s="113"/>
      <x:c r="G36" s="113"/>
      <x:c r="H36" s="113"/>
      <x:c r="I36" s="113"/>
      <x:c r="J36" s="113"/>
      <x:c r="K36" s="113"/>
      <x:c r="L36" s="113"/>
      <x:c r="M36" s="113"/>
      <x:c r="N36" s="113"/>
      <x:c r="O36" s="113"/>
    </x:row>
    <x:row r="37">
      <x:c r="A37" s="113"/>
      <x:c r="B37" s="113"/>
      <x:c r="C37" s="113"/>
      <x:c r="D37" s="113"/>
      <x:c r="E37" s="113"/>
      <x:c r="F37" s="113"/>
      <x:c r="G37" s="113"/>
      <x:c r="H37" s="113"/>
      <x:c r="I37" s="113"/>
      <x:c r="J37" s="113"/>
      <x:c r="K37" s="113"/>
      <x:c r="L37" s="113"/>
      <x:c r="M37" s="113"/>
      <x:c r="N37" s="113"/>
      <x:c r="O37" s="113"/>
    </x:row>
    <x:row r="38">
      <x:c r="A38" s="113"/>
      <x:c r="B38" s="113"/>
      <x:c r="C38" s="113"/>
      <x:c r="D38" s="113"/>
      <x:c r="E38" s="113"/>
      <x:c r="F38" s="113"/>
      <x:c r="G38" s="113"/>
      <x:c r="H38" s="113"/>
      <x:c r="I38" s="113"/>
      <x:c r="J38" s="113"/>
      <x:c r="K38" s="113"/>
      <x:c r="L38" s="113"/>
      <x:c r="M38" s="113"/>
      <x:c r="N38" s="113"/>
      <x:c r="O38" s="113"/>
    </x:row>
    <x:row r="39">
      <x:c r="A39" s="113"/>
      <x:c r="B39" s="113"/>
      <x:c r="C39" s="113"/>
      <x:c r="D39" s="113"/>
      <x:c r="E39" s="113"/>
      <x:c r="F39" s="113"/>
      <x:c r="G39" s="113"/>
      <x:c r="H39" s="113"/>
      <x:c r="I39" s="113"/>
      <x:c r="J39" s="113"/>
      <x:c r="K39" s="113"/>
      <x:c r="L39" s="113"/>
      <x:c r="M39" s="113"/>
      <x:c r="N39" s="113"/>
      <x:c r="O39" s="113"/>
    </x:row>
    <x:row r="40">
      <x:c r="A40" s="113"/>
      <x:c r="B40" s="113"/>
      <x:c r="C40" s="113"/>
      <x:c r="D40" s="113"/>
      <x:c r="E40" s="113"/>
      <x:c r="F40" s="113"/>
      <x:c r="G40" s="113"/>
      <x:c r="H40" s="113"/>
      <x:c r="I40" s="113"/>
      <x:c r="J40" s="113"/>
      <x:c r="K40" s="113"/>
      <x:c r="L40" s="113"/>
      <x:c r="M40" s="113"/>
      <x:c r="N40" s="113"/>
      <x:c r="O40" s="113"/>
    </x:row>
    <x:row r="41">
      <x:c r="A41" s="113"/>
      <x:c r="B41" s="113"/>
      <x:c r="C41" s="113"/>
      <x:c r="D41" s="113"/>
      <x:c r="E41" s="113"/>
      <x:c r="F41" s="113"/>
      <x:c r="G41" s="113"/>
      <x:c r="H41" s="113"/>
      <x:c r="I41" s="113"/>
      <x:c r="J41" s="113"/>
      <x:c r="K41" s="113"/>
      <x:c r="L41" s="113"/>
      <x:c r="M41" s="113"/>
      <x:c r="N41" s="113"/>
      <x:c r="O41" s="113"/>
    </x:row>
    <x:row r="42">
      <x:c r="A42" s="113"/>
      <x:c r="B42" s="113"/>
      <x:c r="C42" s="113"/>
      <x:c r="D42" s="113"/>
      <x:c r="E42" s="113"/>
      <x:c r="F42" s="113"/>
      <x:c r="G42" s="113"/>
      <x:c r="H42" s="113"/>
      <x:c r="I42" s="113"/>
      <x:c r="J42" s="113"/>
      <x:c r="K42" s="113"/>
      <x:c r="L42" s="113"/>
      <x:c r="M42" s="113"/>
      <x:c r="N42" s="113"/>
      <x:c r="O42" s="113"/>
    </x:row>
    <x:row r="43">
      <x:c r="A43" s="113"/>
      <x:c r="B43" s="113"/>
      <x:c r="C43" s="113"/>
      <x:c r="D43" s="113"/>
      <x:c r="E43" s="113"/>
      <x:c r="F43" s="113"/>
      <x:c r="G43" s="113"/>
      <x:c r="H43" s="113"/>
      <x:c r="I43" s="113"/>
      <x:c r="J43" s="113"/>
      <x:c r="K43" s="113"/>
      <x:c r="L43" s="113"/>
      <x:c r="M43" s="113"/>
      <x:c r="N43" s="113"/>
      <x:c r="O43" s="113"/>
    </x:row>
    <x:row r="44">
      <x:c r="A44" s="113"/>
      <x:c r="B44" s="113"/>
      <x:c r="C44" s="113"/>
      <x:c r="D44" s="113"/>
      <x:c r="E44" s="113"/>
      <x:c r="F44" s="113"/>
      <x:c r="G44" s="113"/>
      <x:c r="H44" s="113"/>
      <x:c r="I44" s="113"/>
      <x:c r="J44" s="113"/>
      <x:c r="K44" s="113"/>
      <x:c r="L44" s="113"/>
      <x:c r="M44" s="113"/>
      <x:c r="N44" s="113"/>
      <x:c r="O44" s="113"/>
    </x:row>
    <x:row r="45">
      <x:c r="A45" s="113"/>
      <x:c r="B45" s="113"/>
      <x:c r="C45" s="113"/>
      <x:c r="D45" s="113"/>
      <x:c r="E45" s="113"/>
      <x:c r="F45" s="113"/>
      <x:c r="G45" s="113"/>
      <x:c r="H45" s="113"/>
      <x:c r="I45" s="113"/>
      <x:c r="J45" s="113"/>
      <x:c r="K45" s="113"/>
      <x:c r="L45" s="113"/>
      <x:c r="M45" s="113"/>
      <x:c r="N45" s="113"/>
      <x:c r="O45" s="113"/>
    </x:row>
    <x:row r="46">
      <x:c r="A46" s="113"/>
      <x:c r="B46" s="113"/>
      <x:c r="C46" s="113"/>
      <x:c r="D46" s="113"/>
      <x:c r="E46" s="113"/>
      <x:c r="F46" s="113"/>
      <x:c r="G46" s="113"/>
      <x:c r="H46" s="113"/>
      <x:c r="I46" s="113"/>
      <x:c r="J46" s="113"/>
      <x:c r="K46" s="113"/>
      <x:c r="L46" s="113"/>
      <x:c r="M46" s="113"/>
      <x:c r="N46" s="113"/>
      <x:c r="O46" s="113"/>
    </x:row>
    <x:row r="47">
      <x:c r="A47" s="113"/>
      <x:c r="B47" s="113"/>
      <x:c r="C47" s="113"/>
      <x:c r="D47" s="113"/>
      <x:c r="E47" s="113"/>
      <x:c r="F47" s="113"/>
      <x:c r="G47" s="113"/>
      <x:c r="H47" s="113"/>
      <x:c r="I47" s="113"/>
      <x:c r="J47" s="113"/>
      <x:c r="K47" s="113"/>
      <x:c r="L47" s="113"/>
      <x:c r="M47" s="113"/>
      <x:c r="N47" s="113"/>
      <x:c r="O47" s="113"/>
    </x:row>
    <x:row r="48">
      <x:c r="A48" s="113"/>
      <x:c r="B48" s="113"/>
      <x:c r="C48" s="113"/>
      <x:c r="D48" s="113"/>
      <x:c r="E48" s="113"/>
      <x:c r="F48" s="113"/>
      <x:c r="G48" s="113"/>
      <x:c r="H48" s="113"/>
      <x:c r="I48" s="113"/>
      <x:c r="J48" s="113"/>
      <x:c r="K48" s="113"/>
      <x:c r="L48" s="113"/>
      <x:c r="M48" s="113"/>
      <x:c r="N48" s="113"/>
      <x:c r="O48" s="113"/>
    </x:row>
    <x:row r="49">
      <x:c r="A49" s="113"/>
      <x:c r="B49" s="113"/>
      <x:c r="C49" s="113"/>
      <x:c r="D49" s="113"/>
      <x:c r="E49" s="113"/>
      <x:c r="F49" s="113"/>
      <x:c r="G49" s="113"/>
      <x:c r="H49" s="113"/>
      <x:c r="I49" s="113"/>
      <x:c r="J49" s="113"/>
      <x:c r="K49" s="113"/>
      <x:c r="L49" s="113"/>
      <x:c r="M49" s="113"/>
      <x:c r="N49" s="113"/>
      <x:c r="O49" s="113"/>
    </x:row>
    <x:row r="50">
      <x:c r="A50" s="113"/>
      <x:c r="B50" s="113"/>
      <x:c r="C50" s="113"/>
      <x:c r="D50" s="113"/>
      <x:c r="E50" s="113"/>
      <x:c r="F50" s="113"/>
      <x:c r="G50" s="113"/>
      <x:c r="H50" s="113"/>
      <x:c r="I50" s="113"/>
      <x:c r="J50" s="113"/>
      <x:c r="K50" s="113"/>
      <x:c r="L50" s="113"/>
      <x:c r="M50" s="113"/>
      <x:c r="N50" s="113"/>
      <x:c r="O50" s="113"/>
    </x:row>
    <x:row r="51">
      <x:c r="A51" s="113"/>
      <x:c r="B51" s="113"/>
      <x:c r="C51" s="113"/>
      <x:c r="D51" s="113"/>
      <x:c r="E51" s="113"/>
      <x:c r="F51" s="113"/>
      <x:c r="G51" s="113"/>
      <x:c r="H51" s="113"/>
      <x:c r="I51" s="113"/>
      <x:c r="J51" s="113"/>
      <x:c r="K51" s="113"/>
      <x:c r="L51" s="113"/>
      <x:c r="M51" s="113"/>
      <x:c r="N51" s="113"/>
      <x:c r="O51" s="113"/>
    </x:row>
    <x:row r="52">
      <x:c r="A52" s="113"/>
      <x:c r="B52" s="113"/>
      <x:c r="C52" s="113"/>
      <x:c r="D52" s="113"/>
      <x:c r="E52" s="113"/>
      <x:c r="F52" s="113"/>
      <x:c r="G52" s="113"/>
      <x:c r="H52" s="113"/>
      <x:c r="I52" s="113"/>
      <x:c r="J52" s="113"/>
      <x:c r="K52" s="113"/>
      <x:c r="L52" s="113"/>
      <x:c r="M52" s="113"/>
      <x:c r="N52" s="113"/>
      <x:c r="O52" s="113"/>
    </x:row>
    <x:row r="53">
      <x:c r="A53" s="113"/>
      <x:c r="B53" s="113"/>
      <x:c r="C53" s="113"/>
      <x:c r="D53" s="113"/>
      <x:c r="E53" s="113"/>
      <x:c r="F53" s="113"/>
      <x:c r="G53" s="113"/>
      <x:c r="H53" s="113"/>
      <x:c r="I53" s="113"/>
      <x:c r="J53" s="113"/>
      <x:c r="K53" s="113"/>
      <x:c r="L53" s="113"/>
      <x:c r="M53" s="113"/>
      <x:c r="N53" s="113"/>
      <x:c r="O53" s="113"/>
    </x:row>
    <x:row r="54">
      <x:c r="A54" s="113"/>
      <x:c r="B54" s="113"/>
      <x:c r="C54" s="113"/>
      <x:c r="D54" s="113"/>
      <x:c r="E54" s="113"/>
      <x:c r="F54" s="113"/>
      <x:c r="G54" s="113"/>
      <x:c r="H54" s="113"/>
      <x:c r="I54" s="113"/>
      <x:c r="J54" s="113"/>
      <x:c r="K54" s="113"/>
      <x:c r="L54" s="113"/>
      <x:c r="M54" s="113"/>
      <x:c r="N54" s="113"/>
      <x:c r="O54" s="113"/>
    </x:row>
    <x:row r="55">
      <x:c r="A55" s="113"/>
      <x:c r="B55" s="113"/>
      <x:c r="C55" s="113"/>
      <x:c r="D55" s="113"/>
      <x:c r="E55" s="113"/>
      <x:c r="F55" s="113"/>
      <x:c r="G55" s="113"/>
      <x:c r="H55" s="113"/>
      <x:c r="I55" s="113"/>
      <x:c r="J55" s="113"/>
      <x:c r="K55" s="113"/>
      <x:c r="L55" s="113"/>
      <x:c r="M55" s="113"/>
      <x:c r="N55" s="113"/>
      <x:c r="O55" s="113"/>
    </x:row>
    <x:row r="56">
      <x:c r="A56" s="113"/>
      <x:c r="B56" s="113"/>
      <x:c r="C56" s="113"/>
      <x:c r="D56" s="113"/>
      <x:c r="E56" s="113"/>
      <x:c r="F56" s="113"/>
      <x:c r="G56" s="113"/>
      <x:c r="H56" s="113"/>
      <x:c r="I56" s="113"/>
      <x:c r="J56" s="113"/>
      <x:c r="K56" s="113"/>
      <x:c r="L56" s="113"/>
      <x:c r="M56" s="113"/>
      <x:c r="N56" s="113"/>
      <x:c r="O56" s="113"/>
    </x:row>
    <x:row r="57">
      <x:c r="A57" s="113"/>
      <x:c r="B57" s="113"/>
      <x:c r="C57" s="113"/>
      <x:c r="D57" s="113"/>
      <x:c r="E57" s="113"/>
      <x:c r="F57" s="113"/>
      <x:c r="G57" s="113"/>
      <x:c r="H57" s="113"/>
      <x:c r="I57" s="113"/>
      <x:c r="J57" s="113"/>
      <x:c r="K57" s="113"/>
      <x:c r="L57" s="113"/>
      <x:c r="M57" s="113"/>
      <x:c r="N57" s="113"/>
      <x:c r="O57" s="113"/>
    </x:row>
    <x:row r="58">
      <x:c r="A58" s="113"/>
      <x:c r="B58" s="113"/>
      <x:c r="C58" s="113"/>
      <x:c r="D58" s="113"/>
      <x:c r="E58" s="113"/>
      <x:c r="F58" s="113"/>
      <x:c r="G58" s="113"/>
      <x:c r="H58" s="113"/>
      <x:c r="I58" s="113"/>
      <x:c r="J58" s="113"/>
      <x:c r="K58" s="113"/>
      <x:c r="L58" s="113"/>
      <x:c r="M58" s="113"/>
      <x:c r="N58" s="113"/>
      <x:c r="O58" s="113"/>
    </x:row>
    <x:row r="59">
      <x:c r="A59" s="113"/>
      <x:c r="B59" s="113"/>
      <x:c r="C59" s="113"/>
      <x:c r="D59" s="113"/>
      <x:c r="E59" s="113"/>
      <x:c r="F59" s="113"/>
      <x:c r="G59" s="113"/>
      <x:c r="H59" s="113"/>
      <x:c r="I59" s="113"/>
      <x:c r="J59" s="113"/>
      <x:c r="K59" s="113"/>
      <x:c r="L59" s="113"/>
      <x:c r="M59" s="113"/>
      <x:c r="N59" s="113"/>
      <x:c r="O59" s="113"/>
    </x:row>
    <x:row r="60">
      <x:c r="A60" s="113"/>
      <x:c r="B60" s="113"/>
      <x:c r="C60" s="113"/>
      <x:c r="D60" s="113"/>
      <x:c r="E60" s="113"/>
      <x:c r="F60" s="113"/>
      <x:c r="G60" s="113"/>
      <x:c r="H60" s="113"/>
      <x:c r="I60" s="113"/>
      <x:c r="J60" s="113"/>
      <x:c r="K60" s="113"/>
      <x:c r="L60" s="113"/>
      <x:c r="M60" s="113"/>
      <x:c r="N60" s="113"/>
      <x:c r="O60" s="113"/>
    </x:row>
    <x:row r="61">
      <x:c r="A61" s="113"/>
      <x:c r="B61" s="113"/>
      <x:c r="C61" s="113"/>
      <x:c r="D61" s="113"/>
      <x:c r="E61" s="113"/>
      <x:c r="F61" s="113"/>
      <x:c r="G61" s="113"/>
      <x:c r="H61" s="113"/>
      <x:c r="I61" s="113"/>
      <x:c r="J61" s="113"/>
      <x:c r="K61" s="113"/>
      <x:c r="L61" s="113"/>
      <x:c r="M61" s="113"/>
      <x:c r="N61" s="113"/>
      <x:c r="O61" s="113"/>
    </x:row>
    <x:row r="62">
      <x:c r="A62" s="113"/>
      <x:c r="B62" s="113"/>
      <x:c r="C62" s="113"/>
      <x:c r="D62" s="113"/>
      <x:c r="E62" s="113"/>
      <x:c r="F62" s="113"/>
      <x:c r="G62" s="113"/>
      <x:c r="H62" s="113"/>
      <x:c r="I62" s="113"/>
      <x:c r="J62" s="113"/>
      <x:c r="K62" s="113"/>
      <x:c r="L62" s="113"/>
      <x:c r="M62" s="113"/>
      <x:c r="N62" s="113"/>
      <x:c r="O62" s="113"/>
    </x:row>
    <x:row r="63">
      <x:c r="A63" s="113"/>
      <x:c r="B63" s="113"/>
      <x:c r="C63" s="113"/>
      <x:c r="D63" s="113"/>
      <x:c r="E63" s="113"/>
      <x:c r="F63" s="113"/>
      <x:c r="G63" s="113"/>
      <x:c r="H63" s="113"/>
      <x:c r="I63" s="113"/>
      <x:c r="J63" s="113"/>
      <x:c r="K63" s="113"/>
      <x:c r="L63" s="113"/>
      <x:c r="M63" s="113"/>
      <x:c r="N63" s="113"/>
      <x:c r="O63" s="113"/>
    </x:row>
    <x:row r="64">
      <x:c r="A64" s="113"/>
      <x:c r="B64" s="113"/>
      <x:c r="C64" s="113"/>
      <x:c r="D64" s="113"/>
      <x:c r="E64" s="113"/>
      <x:c r="F64" s="113"/>
      <x:c r="G64" s="113"/>
      <x:c r="H64" s="113"/>
      <x:c r="I64" s="113"/>
      <x:c r="J64" s="113"/>
      <x:c r="K64" s="113"/>
      <x:c r="L64" s="113"/>
      <x:c r="M64" s="113"/>
      <x:c r="N64" s="113"/>
      <x:c r="O64" s="113"/>
    </x:row>
    <x:row r="65">
      <x:c r="A65" s="113"/>
      <x:c r="B65" s="113"/>
      <x:c r="C65" s="113"/>
      <x:c r="D65" s="113"/>
      <x:c r="E65" s="113"/>
      <x:c r="F65" s="113"/>
      <x:c r="G65" s="113"/>
      <x:c r="H65" s="113"/>
      <x:c r="I65" s="113"/>
      <x:c r="J65" s="113"/>
      <x:c r="K65" s="113"/>
      <x:c r="L65" s="113"/>
      <x:c r="M65" s="113"/>
      <x:c r="N65" s="113"/>
      <x:c r="O65" s="113"/>
    </x:row>
    <x:row r="66">
      <x:c r="A66" s="113"/>
      <x:c r="B66" s="113"/>
      <x:c r="C66" s="113"/>
      <x:c r="D66" s="113"/>
      <x:c r="E66" s="113"/>
      <x:c r="F66" s="113"/>
      <x:c r="G66" s="113"/>
      <x:c r="H66" s="113"/>
      <x:c r="I66" s="113"/>
      <x:c r="J66" s="113"/>
      <x:c r="K66" s="113"/>
      <x:c r="L66" s="113"/>
      <x:c r="M66" s="113"/>
      <x:c r="N66" s="113"/>
      <x:c r="O66" s="113"/>
    </x:row>
    <x:row r="67">
      <x:c r="A67" s="113"/>
      <x:c r="B67" s="113"/>
      <x:c r="C67" s="113"/>
      <x:c r="D67" s="113"/>
      <x:c r="E67" s="113"/>
      <x:c r="F67" s="113"/>
      <x:c r="G67" s="113"/>
      <x:c r="H67" s="113"/>
      <x:c r="I67" s="113"/>
      <x:c r="J67" s="113"/>
      <x:c r="K67" s="113"/>
      <x:c r="L67" s="113"/>
      <x:c r="M67" s="113"/>
      <x:c r="N67" s="113"/>
      <x:c r="O67" s="113"/>
    </x:row>
    <x:row r="68">
      <x:c r="A68" s="113"/>
      <x:c r="B68" s="113"/>
      <x:c r="C68" s="113"/>
      <x:c r="D68" s="113"/>
      <x:c r="E68" s="113"/>
      <x:c r="F68" s="113"/>
      <x:c r="G68" s="113"/>
      <x:c r="H68" s="113"/>
      <x:c r="I68" s="113"/>
      <x:c r="J68" s="113"/>
      <x:c r="K68" s="113"/>
      <x:c r="L68" s="113"/>
      <x:c r="M68" s="113"/>
      <x:c r="N68" s="113"/>
      <x:c r="O68" s="113"/>
    </x:row>
    <x:row r="69">
      <x:c r="A69" s="113"/>
      <x:c r="B69" s="113"/>
      <x:c r="C69" s="113"/>
      <x:c r="D69" s="113"/>
      <x:c r="E69" s="113"/>
      <x:c r="F69" s="113"/>
      <x:c r="G69" s="113"/>
      <x:c r="H69" s="113"/>
      <x:c r="I69" s="113"/>
      <x:c r="J69" s="113"/>
      <x:c r="K69" s="113"/>
      <x:c r="L69" s="113"/>
      <x:c r="M69" s="113"/>
      <x:c r="N69" s="113"/>
      <x:c r="O69" s="113"/>
    </x:row>
    <x:row r="70">
      <x:c r="A70" s="113"/>
      <x:c r="B70" s="113"/>
      <x:c r="C70" s="113"/>
      <x:c r="D70" s="113"/>
      <x:c r="E70" s="113"/>
      <x:c r="F70" s="113"/>
      <x:c r="G70" s="113"/>
      <x:c r="H70" s="113"/>
      <x:c r="I70" s="113"/>
      <x:c r="J70" s="113"/>
      <x:c r="K70" s="113"/>
      <x:c r="L70" s="113"/>
      <x:c r="M70" s="113"/>
      <x:c r="N70" s="113"/>
      <x:c r="O70" s="113"/>
    </x:row>
    <x:row r="71">
      <x:c r="A71" s="113"/>
      <x:c r="B71" s="113"/>
      <x:c r="C71" s="113"/>
      <x:c r="D71" s="113"/>
      <x:c r="E71" s="113"/>
      <x:c r="F71" s="113"/>
      <x:c r="G71" s="113"/>
      <x:c r="H71" s="113"/>
      <x:c r="I71" s="113"/>
      <x:c r="J71" s="113"/>
      <x:c r="K71" s="113"/>
      <x:c r="L71" s="113"/>
      <x:c r="M71" s="113"/>
      <x:c r="N71" s="113"/>
      <x:c r="O71" s="113"/>
    </x:row>
    <x:row r="72">
      <x:c r="A72" s="113"/>
      <x:c r="B72" s="113"/>
      <x:c r="C72" s="113"/>
      <x:c r="D72" s="113"/>
      <x:c r="E72" s="113"/>
      <x:c r="F72" s="113"/>
      <x:c r="G72" s="113"/>
      <x:c r="H72" s="113"/>
      <x:c r="I72" s="113"/>
      <x:c r="J72" s="113"/>
      <x:c r="K72" s="113"/>
      <x:c r="L72" s="113"/>
      <x:c r="M72" s="113"/>
      <x:c r="N72" s="113"/>
      <x:c r="O72" s="113"/>
    </x:row>
    <x:row r="73">
      <x:c r="A73" s="113"/>
      <x:c r="B73" s="113"/>
      <x:c r="C73" s="113"/>
      <x:c r="D73" s="113"/>
      <x:c r="E73" s="113"/>
      <x:c r="F73" s="113"/>
      <x:c r="G73" s="113"/>
      <x:c r="H73" s="113"/>
      <x:c r="I73" s="113"/>
      <x:c r="J73" s="113"/>
      <x:c r="K73" s="113"/>
      <x:c r="L73" s="113"/>
      <x:c r="M73" s="113"/>
      <x:c r="N73" s="113"/>
      <x:c r="O73" s="113"/>
    </x:row>
    <x:row r="74">
      <x:c r="A74" s="113"/>
      <x:c r="B74" s="113"/>
      <x:c r="C74" s="113"/>
      <x:c r="D74" s="113"/>
      <x:c r="E74" s="113"/>
      <x:c r="F74" s="113"/>
      <x:c r="G74" s="113"/>
      <x:c r="H74" s="113"/>
      <x:c r="I74" s="113"/>
      <x:c r="J74" s="113"/>
      <x:c r="K74" s="113"/>
      <x:c r="L74" s="113"/>
      <x:c r="M74" s="113"/>
      <x:c r="N74" s="113"/>
      <x:c r="O74" s="113"/>
    </x:row>
    <x:row r="75">
      <x:c r="A75" s="113"/>
      <x:c r="B75" s="113"/>
      <x:c r="C75" s="113"/>
      <x:c r="D75" s="113"/>
      <x:c r="E75" s="113"/>
      <x:c r="F75" s="113"/>
      <x:c r="G75" s="113"/>
      <x:c r="H75" s="113"/>
      <x:c r="I75" s="113"/>
      <x:c r="J75" s="113"/>
      <x:c r="K75" s="113"/>
      <x:c r="L75" s="113"/>
      <x:c r="M75" s="113"/>
      <x:c r="N75" s="113"/>
      <x:c r="O75" s="113"/>
    </x:row>
    <x:row r="76">
      <x:c r="A76" s="113"/>
      <x:c r="B76" s="113"/>
      <x:c r="C76" s="113"/>
      <x:c r="D76" s="113"/>
      <x:c r="E76" s="113"/>
      <x:c r="F76" s="113"/>
      <x:c r="G76" s="113"/>
      <x:c r="H76" s="113"/>
      <x:c r="I76" s="113"/>
      <x:c r="J76" s="113"/>
      <x:c r="K76" s="113"/>
      <x:c r="L76" s="113"/>
      <x:c r="M76" s="113"/>
      <x:c r="N76" s="113"/>
      <x:c r="O76" s="113"/>
    </x:row>
    <x:row r="77">
      <x:c r="A77" s="113"/>
      <x:c r="B77" s="113"/>
      <x:c r="C77" s="113"/>
      <x:c r="D77" s="113"/>
      <x:c r="E77" s="113"/>
      <x:c r="F77" s="113"/>
      <x:c r="G77" s="113"/>
      <x:c r="H77" s="113"/>
      <x:c r="I77" s="113"/>
      <x:c r="J77" s="113"/>
      <x:c r="K77" s="113"/>
      <x:c r="L77" s="113"/>
      <x:c r="M77" s="113"/>
      <x:c r="N77" s="113"/>
      <x:c r="O77" s="113"/>
    </x:row>
    <x:row r="78">
      <x:c r="A78" s="113"/>
      <x:c r="B78" s="113"/>
      <x:c r="C78" s="113"/>
      <x:c r="D78" s="113"/>
      <x:c r="E78" s="113"/>
      <x:c r="F78" s="113"/>
      <x:c r="G78" s="113"/>
      <x:c r="H78" s="113"/>
      <x:c r="I78" s="113"/>
      <x:c r="J78" s="113"/>
      <x:c r="K78" s="113"/>
      <x:c r="L78" s="113"/>
      <x:c r="M78" s="113"/>
      <x:c r="N78" s="113"/>
      <x:c r="O78" s="113"/>
    </x:row>
    <x:row r="79">
      <x:c r="A79" s="113"/>
      <x:c r="B79" s="113"/>
      <x:c r="C79" s="113"/>
      <x:c r="D79" s="113"/>
      <x:c r="E79" s="113"/>
      <x:c r="F79" s="113"/>
      <x:c r="G79" s="113"/>
      <x:c r="H79" s="113"/>
      <x:c r="I79" s="113"/>
      <x:c r="J79" s="113"/>
      <x:c r="K79" s="113"/>
      <x:c r="L79" s="113"/>
      <x:c r="M79" s="113"/>
      <x:c r="N79" s="113"/>
      <x:c r="O79" s="113"/>
    </x:row>
    <x:row r="80">
      <x:c r="A80" s="113"/>
      <x:c r="B80" s="113"/>
      <x:c r="C80" s="113"/>
      <x:c r="D80" s="113"/>
      <x:c r="E80" s="113"/>
      <x:c r="F80" s="113"/>
      <x:c r="G80" s="113"/>
      <x:c r="H80" s="113"/>
      <x:c r="I80" s="113"/>
      <x:c r="J80" s="113"/>
      <x:c r="K80" s="113"/>
      <x:c r="L80" s="113"/>
      <x:c r="M80" s="113"/>
      <x:c r="N80" s="113"/>
      <x:c r="O80" s="113"/>
    </x:row>
    <x:row r="81">
      <x:c r="A81" s="113"/>
      <x:c r="B81" s="113"/>
      <x:c r="C81" s="113"/>
      <x:c r="D81" s="113"/>
      <x:c r="E81" s="113"/>
      <x:c r="F81" s="113"/>
      <x:c r="G81" s="113"/>
      <x:c r="H81" s="113"/>
      <x:c r="I81" s="113"/>
      <x:c r="J81" s="113"/>
      <x:c r="K81" s="113"/>
      <x:c r="L81" s="113"/>
      <x:c r="M81" s="113"/>
      <x:c r="N81" s="113"/>
      <x:c r="O81" s="113"/>
    </x:row>
    <x:row r="82">
      <x:c r="A82" s="113"/>
      <x:c r="B82" s="113"/>
      <x:c r="C82" s="113"/>
      <x:c r="D82" s="113"/>
      <x:c r="E82" s="113"/>
      <x:c r="F82" s="113"/>
      <x:c r="G82" s="113"/>
      <x:c r="H82" s="113"/>
      <x:c r="I82" s="113"/>
      <x:c r="J82" s="113"/>
      <x:c r="K82" s="113"/>
      <x:c r="L82" s="113"/>
      <x:c r="M82" s="113"/>
      <x:c r="N82" s="113"/>
      <x:c r="O82" s="113"/>
    </x:row>
    <x:row r="83">
      <x:c r="A83" s="113"/>
      <x:c r="B83" s="113"/>
      <x:c r="C83" s="113"/>
      <x:c r="D83" s="113"/>
      <x:c r="E83" s="113"/>
      <x:c r="F83" s="113"/>
      <x:c r="G83" s="113"/>
      <x:c r="H83" s="113"/>
      <x:c r="I83" s="113"/>
      <x:c r="J83" s="113"/>
      <x:c r="K83" s="113"/>
      <x:c r="L83" s="113"/>
      <x:c r="M83" s="113"/>
      <x:c r="N83" s="113"/>
      <x:c r="O83" s="113"/>
    </x:row>
    <x:row r="84">
      <x:c r="A84" s="113"/>
      <x:c r="B84" s="113"/>
      <x:c r="C84" s="113"/>
      <x:c r="D84" s="113"/>
      <x:c r="E84" s="113"/>
      <x:c r="F84" s="113"/>
      <x:c r="G84" s="113"/>
      <x:c r="H84" s="113"/>
      <x:c r="I84" s="113"/>
      <x:c r="J84" s="113"/>
      <x:c r="K84" s="113"/>
      <x:c r="L84" s="113"/>
      <x:c r="M84" s="113"/>
      <x:c r="N84" s="113"/>
      <x:c r="O84" s="113"/>
    </x:row>
    <x:row r="85">
      <x:c r="A85" s="113"/>
      <x:c r="B85" s="113"/>
      <x:c r="C85" s="113"/>
      <x:c r="D85" s="113"/>
      <x:c r="E85" s="113"/>
      <x:c r="F85" s="113"/>
      <x:c r="G85" s="113"/>
      <x:c r="H85" s="113"/>
      <x:c r="I85" s="113"/>
      <x:c r="J85" s="113"/>
      <x:c r="K85" s="113"/>
      <x:c r="L85" s="113"/>
      <x:c r="M85" s="113"/>
      <x:c r="N85" s="113"/>
      <x:c r="O85" s="113"/>
    </x:row>
    <x:row r="86">
      <x:c r="A86" s="113"/>
      <x:c r="B86" s="113"/>
      <x:c r="C86" s="113"/>
      <x:c r="D86" s="113"/>
      <x:c r="E86" s="113"/>
      <x:c r="F86" s="113"/>
      <x:c r="G86" s="113"/>
      <x:c r="H86" s="113"/>
      <x:c r="I86" s="113"/>
      <x:c r="J86" s="113"/>
      <x:c r="K86" s="113"/>
      <x:c r="L86" s="113"/>
      <x:c r="M86" s="113"/>
      <x:c r="N86" s="113"/>
      <x:c r="O86" s="113"/>
    </x:row>
    <x:row r="87">
      <x:c r="A87" s="113"/>
      <x:c r="B87" s="113"/>
      <x:c r="C87" s="113"/>
      <x:c r="D87" s="113"/>
      <x:c r="E87" s="113"/>
      <x:c r="F87" s="113"/>
      <x:c r="G87" s="113"/>
      <x:c r="H87" s="113"/>
      <x:c r="I87" s="113"/>
      <x:c r="J87" s="113"/>
      <x:c r="K87" s="113"/>
      <x:c r="L87" s="113"/>
      <x:c r="M87" s="113"/>
      <x:c r="N87" s="113"/>
      <x:c r="O87" s="113"/>
    </x:row>
    <x:row r="88">
      <x:c r="A88" s="113"/>
      <x:c r="B88" s="113"/>
      <x:c r="C88" s="113"/>
      <x:c r="D88" s="113"/>
      <x:c r="E88" s="113"/>
      <x:c r="F88" s="113"/>
      <x:c r="G88" s="113"/>
      <x:c r="H88" s="113"/>
      <x:c r="I88" s="113"/>
      <x:c r="J88" s="113"/>
      <x:c r="K88" s="113"/>
      <x:c r="L88" s="113"/>
      <x:c r="M88" s="113"/>
      <x:c r="N88" s="113"/>
      <x:c r="O88" s="113"/>
    </x:row>
    <x:row r="89">
      <x:c r="A89" s="113"/>
      <x:c r="B89" s="113"/>
      <x:c r="C89" s="113"/>
      <x:c r="D89" s="113"/>
      <x:c r="E89" s="113"/>
      <x:c r="F89" s="113"/>
      <x:c r="G89" s="113"/>
      <x:c r="H89" s="113"/>
      <x:c r="I89" s="113"/>
      <x:c r="J89" s="113"/>
      <x:c r="K89" s="113"/>
      <x:c r="L89" s="113"/>
      <x:c r="M89" s="113"/>
      <x:c r="N89" s="113"/>
      <x:c r="O89" s="113"/>
    </x:row>
    <x:row r="90">
      <x:c r="A90" s="113"/>
      <x:c r="B90" s="113"/>
      <x:c r="C90" s="113"/>
      <x:c r="D90" s="113"/>
      <x:c r="E90" s="113"/>
      <x:c r="F90" s="113"/>
      <x:c r="G90" s="113"/>
      <x:c r="H90" s="113"/>
      <x:c r="I90" s="113"/>
      <x:c r="J90" s="113"/>
      <x:c r="K90" s="113"/>
      <x:c r="L90" s="113"/>
      <x:c r="M90" s="113"/>
      <x:c r="N90" s="113"/>
      <x:c r="O90" s="113"/>
    </x:row>
    <x:row r="91">
      <x:c r="A91" s="113"/>
      <x:c r="B91" s="113"/>
      <x:c r="C91" s="113"/>
      <x:c r="D91" s="113"/>
      <x:c r="E91" s="113"/>
      <x:c r="F91" s="113"/>
      <x:c r="G91" s="113"/>
      <x:c r="H91" s="113"/>
      <x:c r="I91" s="113"/>
      <x:c r="J91" s="113"/>
      <x:c r="K91" s="113"/>
      <x:c r="L91" s="113"/>
      <x:c r="M91" s="113"/>
      <x:c r="N91" s="113"/>
      <x:c r="O91" s="113"/>
    </x:row>
    <x:row r="92">
      <x:c r="A92" s="113"/>
      <x:c r="B92" s="113"/>
      <x:c r="C92" s="113"/>
      <x:c r="D92" s="113"/>
      <x:c r="E92" s="113"/>
      <x:c r="F92" s="113"/>
      <x:c r="G92" s="113"/>
      <x:c r="H92" s="113"/>
      <x:c r="I92" s="113"/>
      <x:c r="J92" s="113"/>
      <x:c r="K92" s="113"/>
      <x:c r="L92" s="113"/>
      <x:c r="M92" s="113"/>
      <x:c r="N92" s="113"/>
      <x:c r="O92" s="113"/>
    </x:row>
    <x:row r="93">
      <x:c r="A93" s="113"/>
      <x:c r="B93" s="113"/>
      <x:c r="C93" s="113"/>
      <x:c r="D93" s="113"/>
      <x:c r="E93" s="113"/>
      <x:c r="F93" s="113"/>
      <x:c r="G93" s="113"/>
      <x:c r="H93" s="113"/>
      <x:c r="I93" s="113"/>
      <x:c r="J93" s="113"/>
      <x:c r="K93" s="113"/>
      <x:c r="L93" s="113"/>
      <x:c r="M93" s="113"/>
      <x:c r="N93" s="113"/>
      <x:c r="O93" s="113"/>
    </x:row>
    <x:row r="94">
      <x:c r="A94" s="113"/>
      <x:c r="B94" s="113"/>
      <x:c r="C94" s="113"/>
      <x:c r="D94" s="113"/>
      <x:c r="E94" s="113"/>
      <x:c r="F94" s="113"/>
      <x:c r="G94" s="113"/>
      <x:c r="H94" s="113"/>
      <x:c r="I94" s="113"/>
      <x:c r="J94" s="113"/>
      <x:c r="K94" s="113"/>
      <x:c r="L94" s="113"/>
      <x:c r="M94" s="113"/>
      <x:c r="N94" s="113"/>
      <x:c r="O94" s="113"/>
    </x:row>
    <x:row r="95">
      <x:c r="A95" s="113"/>
      <x:c r="B95" s="113"/>
      <x:c r="C95" s="113"/>
      <x:c r="D95" s="113"/>
      <x:c r="E95" s="113"/>
      <x:c r="F95" s="113"/>
      <x:c r="G95" s="113"/>
      <x:c r="H95" s="113"/>
      <x:c r="I95" s="113"/>
      <x:c r="J95" s="113"/>
      <x:c r="K95" s="113"/>
      <x:c r="L95" s="113"/>
      <x:c r="M95" s="113"/>
      <x:c r="N95" s="113"/>
      <x:c r="O95" s="113"/>
    </x:row>
    <x:row r="96">
      <x:c r="A96" s="113"/>
      <x:c r="B96" s="113"/>
      <x:c r="C96" s="113"/>
      <x:c r="D96" s="113"/>
      <x:c r="E96" s="113"/>
      <x:c r="F96" s="113"/>
      <x:c r="G96" s="113"/>
      <x:c r="H96" s="113"/>
      <x:c r="I96" s="113"/>
      <x:c r="J96" s="113"/>
      <x:c r="K96" s="113"/>
      <x:c r="L96" s="113"/>
      <x:c r="M96" s="113"/>
      <x:c r="N96" s="113"/>
      <x:c r="O96" s="113"/>
    </x:row>
    <x:row r="97">
      <x:c r="A97" s="113"/>
      <x:c r="B97" s="113"/>
      <x:c r="C97" s="113"/>
      <x:c r="D97" s="113"/>
      <x:c r="E97" s="113"/>
      <x:c r="F97" s="113"/>
      <x:c r="G97" s="113"/>
      <x:c r="H97" s="113"/>
      <x:c r="I97" s="113"/>
      <x:c r="J97" s="113"/>
      <x:c r="K97" s="113"/>
      <x:c r="L97" s="113"/>
      <x:c r="M97" s="113"/>
      <x:c r="N97" s="113"/>
      <x:c r="O97" s="113"/>
    </x:row>
    <x:row r="98">
      <x:c r="A98" s="113"/>
      <x:c r="B98" s="113"/>
      <x:c r="C98" s="113"/>
      <x:c r="D98" s="113"/>
      <x:c r="E98" s="113"/>
      <x:c r="F98" s="113"/>
      <x:c r="G98" s="113"/>
      <x:c r="H98" s="113"/>
      <x:c r="I98" s="113"/>
      <x:c r="J98" s="113"/>
      <x:c r="K98" s="113"/>
      <x:c r="L98" s="113"/>
      <x:c r="M98" s="113"/>
      <x:c r="N98" s="113"/>
      <x:c r="O98" s="113"/>
    </x:row>
    <x:row r="99">
      <x:c r="A99" s="113"/>
      <x:c r="B99" s="113"/>
      <x:c r="C99" s="113"/>
      <x:c r="D99" s="113"/>
      <x:c r="E99" s="113"/>
      <x:c r="F99" s="113"/>
      <x:c r="G99" s="113"/>
      <x:c r="H99" s="113"/>
      <x:c r="I99" s="113"/>
      <x:c r="J99" s="113"/>
      <x:c r="K99" s="113"/>
      <x:c r="L99" s="113"/>
      <x:c r="M99" s="113"/>
      <x:c r="N99" s="113"/>
      <x:c r="O99" s="113"/>
    </x:row>
    <x:row r="100">
      <x:c r="A100" s="113"/>
      <x:c r="B100" s="113"/>
      <x:c r="C100" s="113"/>
      <x:c r="D100" s="113"/>
      <x:c r="E100" s="113"/>
      <x:c r="F100" s="113"/>
      <x:c r="G100" s="113"/>
      <x:c r="H100" s="113"/>
      <x:c r="I100" s="113"/>
      <x:c r="J100" s="113"/>
      <x:c r="K100" s="113"/>
      <x:c r="L100" s="113"/>
      <x:c r="M100" s="113"/>
      <x:c r="N100" s="113"/>
      <x:c r="O100" s="113"/>
    </x:row>
    <x:row r="101">
      <x:c r="A101" s="113"/>
      <x:c r="B101" s="113"/>
      <x:c r="C101" s="113"/>
      <x:c r="D101" s="113"/>
      <x:c r="E101" s="113"/>
      <x:c r="F101" s="113"/>
      <x:c r="G101" s="113"/>
      <x:c r="H101" s="113"/>
      <x:c r="I101" s="113"/>
      <x:c r="J101" s="113"/>
      <x:c r="K101" s="113"/>
      <x:c r="L101" s="113"/>
      <x:c r="M101" s="113"/>
      <x:c r="N101" s="113"/>
      <x:c r="O101" s="113"/>
    </x:row>
    <x:row r="102">
      <x:c r="A102" s="113"/>
      <x:c r="B102" s="113"/>
      <x:c r="C102" s="113"/>
      <x:c r="D102" s="113"/>
      <x:c r="E102" s="113"/>
      <x:c r="F102" s="113"/>
      <x:c r="G102" s="113"/>
      <x:c r="H102" s="113"/>
      <x:c r="I102" s="113"/>
      <x:c r="J102" s="113"/>
      <x:c r="K102" s="113"/>
      <x:c r="L102" s="113"/>
      <x:c r="M102" s="113"/>
      <x:c r="N102" s="113"/>
      <x:c r="O102" s="113"/>
    </x:row>
    <x:row r="103">
      <x:c r="A103" s="113"/>
      <x:c r="B103" s="113"/>
      <x:c r="C103" s="113"/>
      <x:c r="D103" s="113"/>
      <x:c r="E103" s="113"/>
      <x:c r="F103" s="113"/>
      <x:c r="G103" s="113"/>
      <x:c r="H103" s="113"/>
      <x:c r="I103" s="113"/>
      <x:c r="J103" s="113"/>
      <x:c r="K103" s="113"/>
      <x:c r="L103" s="113"/>
      <x:c r="M103" s="113"/>
      <x:c r="N103" s="113"/>
      <x:c r="O103" s="113"/>
    </x:row>
    <x:row r="104">
      <x:c r="A104" s="113"/>
      <x:c r="B104" s="113"/>
      <x:c r="C104" s="113"/>
      <x:c r="D104" s="113"/>
      <x:c r="E104" s="113"/>
      <x:c r="F104" s="113"/>
      <x:c r="G104" s="113"/>
      <x:c r="H104" s="113"/>
      <x:c r="I104" s="113"/>
      <x:c r="J104" s="113"/>
      <x:c r="K104" s="113"/>
      <x:c r="L104" s="113"/>
      <x:c r="M104" s="113"/>
      <x:c r="N104" s="113"/>
      <x:c r="O104" s="113"/>
    </x:row>
    <x:row r="105">
      <x:c r="A105" s="113"/>
      <x:c r="B105" s="113"/>
      <x:c r="C105" s="113"/>
      <x:c r="D105" s="113"/>
      <x:c r="E105" s="113"/>
      <x:c r="F105" s="113"/>
      <x:c r="G105" s="113"/>
      <x:c r="H105" s="113"/>
      <x:c r="I105" s="113"/>
      <x:c r="J105" s="113"/>
      <x:c r="K105" s="113"/>
      <x:c r="L105" s="113"/>
      <x:c r="M105" s="113"/>
      <x:c r="N105" s="113"/>
      <x:c r="O105" s="113"/>
    </x:row>
    <x:row r="106">
      <x:c r="A106" s="113"/>
      <x:c r="B106" s="113"/>
      <x:c r="C106" s="113"/>
      <x:c r="D106" s="113"/>
      <x:c r="E106" s="113"/>
      <x:c r="F106" s="113"/>
      <x:c r="G106" s="113"/>
      <x:c r="H106" s="113"/>
      <x:c r="I106" s="113"/>
      <x:c r="J106" s="113"/>
      <x:c r="K106" s="113"/>
      <x:c r="L106" s="113"/>
      <x:c r="M106" s="113"/>
      <x:c r="N106" s="113"/>
      <x:c r="O106" s="113"/>
    </x:row>
    <x:row r="107">
      <x:c r="A107" s="113"/>
      <x:c r="B107" s="113"/>
      <x:c r="C107" s="113"/>
      <x:c r="D107" s="113"/>
      <x:c r="E107" s="113"/>
      <x:c r="F107" s="113"/>
      <x:c r="G107" s="113"/>
      <x:c r="H107" s="113"/>
      <x:c r="I107" s="113"/>
      <x:c r="J107" s="113"/>
      <x:c r="K107" s="113"/>
      <x:c r="L107" s="113"/>
      <x:c r="M107" s="113"/>
      <x:c r="N107" s="113"/>
      <x:c r="O107" s="113"/>
    </x:row>
    <x:row r="108">
      <x:c r="A108" s="113"/>
      <x:c r="B108" s="113"/>
      <x:c r="C108" s="113"/>
      <x:c r="D108" s="113"/>
      <x:c r="E108" s="113"/>
      <x:c r="F108" s="113"/>
      <x:c r="G108" s="113"/>
      <x:c r="H108" s="113"/>
      <x:c r="I108" s="113"/>
      <x:c r="J108" s="113"/>
      <x:c r="K108" s="113"/>
      <x:c r="L108" s="113"/>
      <x:c r="M108" s="113"/>
      <x:c r="N108" s="113"/>
      <x:c r="O108" s="113"/>
    </x:row>
    <x:row r="109">
      <x:c r="A109" s="113"/>
      <x:c r="B109" s="113"/>
      <x:c r="C109" s="113"/>
      <x:c r="D109" s="113"/>
      <x:c r="E109" s="113"/>
      <x:c r="F109" s="113"/>
      <x:c r="G109" s="113"/>
      <x:c r="H109" s="113"/>
      <x:c r="I109" s="113"/>
      <x:c r="J109" s="113"/>
      <x:c r="K109" s="113"/>
      <x:c r="L109" s="113"/>
      <x:c r="M109" s="113"/>
      <x:c r="N109" s="113"/>
      <x:c r="O109" s="113"/>
    </x:row>
    <x:row r="110">
      <x:c r="A110" s="113"/>
      <x:c r="B110" s="113"/>
      <x:c r="C110" s="113"/>
      <x:c r="D110" s="113"/>
      <x:c r="E110" s="113"/>
      <x:c r="F110" s="113"/>
      <x:c r="G110" s="113"/>
      <x:c r="H110" s="113"/>
      <x:c r="I110" s="113"/>
      <x:c r="J110" s="113"/>
      <x:c r="K110" s="113"/>
      <x:c r="L110" s="113"/>
      <x:c r="M110" s="113"/>
      <x:c r="N110" s="113"/>
      <x:c r="O110" s="113"/>
    </x:row>
    <x:row r="111">
      <x:c r="A111" s="113"/>
      <x:c r="B111" s="113"/>
      <x:c r="C111" s="113"/>
      <x:c r="D111" s="113"/>
      <x:c r="E111" s="113"/>
      <x:c r="F111" s="113"/>
      <x:c r="G111" s="113"/>
      <x:c r="H111" s="113"/>
      <x:c r="I111" s="113"/>
      <x:c r="J111" s="113"/>
      <x:c r="K111" s="113"/>
      <x:c r="L111" s="113"/>
      <x:c r="M111" s="113"/>
      <x:c r="N111" s="113"/>
      <x:c r="O111" s="113"/>
    </x:row>
    <x:row r="112">
      <x:c r="A112" s="113"/>
      <x:c r="B112" s="113"/>
      <x:c r="C112" s="113"/>
      <x:c r="D112" s="113"/>
      <x:c r="E112" s="113"/>
      <x:c r="F112" s="113"/>
      <x:c r="G112" s="113"/>
      <x:c r="H112" s="113"/>
      <x:c r="I112" s="113"/>
      <x:c r="J112" s="113"/>
      <x:c r="K112" s="113"/>
      <x:c r="L112" s="113"/>
      <x:c r="M112" s="113"/>
      <x:c r="N112" s="113"/>
      <x:c r="O112" s="113"/>
    </x:row>
    <x:row r="113">
      <x:c r="A113" s="113"/>
      <x:c r="B113" s="113"/>
      <x:c r="C113" s="113"/>
      <x:c r="D113" s="113"/>
      <x:c r="E113" s="113"/>
      <x:c r="F113" s="113"/>
      <x:c r="G113" s="113"/>
      <x:c r="H113" s="113"/>
      <x:c r="I113" s="113"/>
      <x:c r="J113" s="113"/>
      <x:c r="K113" s="113"/>
      <x:c r="L113" s="113"/>
      <x:c r="M113" s="113"/>
      <x:c r="N113" s="113"/>
      <x:c r="O113" s="113"/>
    </x:row>
    <x:row r="114">
      <x:c r="A114" s="113"/>
      <x:c r="B114" s="113"/>
      <x:c r="C114" s="113"/>
      <x:c r="D114" s="113"/>
      <x:c r="E114" s="113"/>
      <x:c r="F114" s="113"/>
      <x:c r="G114" s="113"/>
      <x:c r="H114" s="113"/>
      <x:c r="I114" s="113"/>
      <x:c r="J114" s="113"/>
      <x:c r="K114" s="113"/>
      <x:c r="L114" s="113"/>
      <x:c r="M114" s="113"/>
      <x:c r="N114" s="113"/>
      <x:c r="O114" s="113"/>
    </x:row>
    <x:row r="115">
      <x:c r="A115" s="113"/>
      <x:c r="B115" s="113"/>
      <x:c r="C115" s="113"/>
      <x:c r="D115" s="113"/>
      <x:c r="E115" s="113"/>
      <x:c r="F115" s="113"/>
      <x:c r="G115" s="113"/>
      <x:c r="H115" s="113"/>
      <x:c r="I115" s="113"/>
      <x:c r="J115" s="113"/>
      <x:c r="K115" s="113"/>
      <x:c r="L115" s="113"/>
      <x:c r="M115" s="113"/>
      <x:c r="N115" s="113"/>
      <x:c r="O115" s="113"/>
    </x:row>
    <x:row r="116">
      <x:c r="A116" s="113"/>
      <x:c r="B116" s="113"/>
      <x:c r="C116" s="113"/>
      <x:c r="D116" s="113"/>
      <x:c r="E116" s="113"/>
      <x:c r="F116" s="113"/>
      <x:c r="G116" s="113"/>
      <x:c r="H116" s="113"/>
      <x:c r="I116" s="113"/>
      <x:c r="J116" s="113"/>
      <x:c r="K116" s="113"/>
      <x:c r="L116" s="113"/>
      <x:c r="M116" s="113"/>
      <x:c r="N116" s="113"/>
      <x:c r="O116" s="113"/>
    </x:row>
    <x:row r="117">
      <x:c r="A117" s="113"/>
      <x:c r="B117" s="113"/>
      <x:c r="C117" s="113"/>
      <x:c r="D117" s="113"/>
      <x:c r="E117" s="113"/>
      <x:c r="F117" s="113"/>
      <x:c r="G117" s="113"/>
      <x:c r="H117" s="113"/>
      <x:c r="I117" s="113"/>
      <x:c r="J117" s="113"/>
      <x:c r="K117" s="113"/>
      <x:c r="L117" s="113"/>
      <x:c r="M117" s="113"/>
      <x:c r="N117" s="113"/>
      <x:c r="O117" s="113"/>
    </x:row>
    <x:row r="118">
      <x:c r="A118" s="113"/>
      <x:c r="B118" s="113"/>
      <x:c r="C118" s="113"/>
      <x:c r="D118" s="113"/>
      <x:c r="E118" s="113"/>
      <x:c r="F118" s="113"/>
      <x:c r="G118" s="113"/>
      <x:c r="H118" s="113"/>
      <x:c r="I118" s="113"/>
      <x:c r="J118" s="113"/>
      <x:c r="K118" s="113"/>
      <x:c r="L118" s="113"/>
      <x:c r="M118" s="113"/>
      <x:c r="N118" s="113"/>
      <x:c r="O118" s="113"/>
    </x:row>
    <x:row r="119">
      <x:c r="A119" s="113"/>
      <x:c r="B119" s="113"/>
      <x:c r="C119" s="113"/>
      <x:c r="D119" s="113"/>
      <x:c r="E119" s="113"/>
      <x:c r="F119" s="113"/>
      <x:c r="G119" s="113"/>
      <x:c r="H119" s="113"/>
      <x:c r="I119" s="113"/>
      <x:c r="J119" s="113"/>
      <x:c r="K119" s="113"/>
      <x:c r="L119" s="113"/>
      <x:c r="M119" s="113"/>
      <x:c r="N119" s="113"/>
      <x:c r="O119" s="113"/>
    </x:row>
    <x:row r="120">
      <x:c r="A120" s="113"/>
      <x:c r="B120" s="113"/>
      <x:c r="C120" s="113"/>
      <x:c r="D120" s="113"/>
      <x:c r="E120" s="113"/>
      <x:c r="F120" s="113"/>
      <x:c r="G120" s="113"/>
      <x:c r="H120" s="113"/>
      <x:c r="I120" s="113"/>
      <x:c r="J120" s="113"/>
      <x:c r="K120" s="113"/>
      <x:c r="L120" s="113"/>
      <x:c r="M120" s="113"/>
      <x:c r="N120" s="113"/>
      <x:c r="O120" s="113"/>
    </x:row>
  </x:sheetData>
  <x:mergeCells>
    <x:mergeCell ref="A1:L1"/>
  </x:mergeCells>
  <x:conditionalFormatting sqref="K5:K100">
    <x:cfRule type="expression" dxfId="3" priority="1">
      <x:formula>K5="失败"</x:formula>
    </x:cfRule>
    <x:cfRule type="expression" dxfId="4" priority="2">
      <x:formula>K5="通过"</x:formula>
    </x:cfRule>
  </x:conditionalFormatting>
  <x:dataValidations count="2">
    <x:dataValidation type="list" sqref="J5:J100">
      <x:formula1>"P0,P1,P2"</x:formula1>
    </x:dataValidation>
    <x:dataValidation type="list" sqref="K5:K100">
      <x:formula1>"未执行,通过,失败,阻塞,不适用"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8" hidden="0" customWidth="1"/>
    <x:col min="4" max="4" width="22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24" hidden="0" customWidth="1"/>
    <x:col min="14" max="14" width="24" hidden="0" customWidth="1"/>
    <x:col min="15" max="15" width="14" hidden="0" customWidth="1"/>
  </x:cols>
  <x:sheetData>
    <x:row r="1" ht="28" customHeight="1">
      <x:c r="A1" s="77" t="str">
        <x:v>源系统接入、映射、质量与上线评审模板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113"/>
      <x:c r="N1" s="113"/>
      <x:c r="O1" s="113"/>
    </x:row>
    <x:row r="2">
      <x:c r="A2" s="113"/>
      <x:c r="B2" s="113"/>
      <x:c r="C2" s="113"/>
      <x:c r="D2" s="113"/>
      <x:c r="E2" s="113"/>
      <x:c r="F2" s="113"/>
      <x:c r="G2" s="113"/>
      <x:c r="H2" s="113"/>
      <x:c r="I2" s="113"/>
      <x:c r="J2" s="113"/>
      <x:c r="K2" s="113"/>
      <x:c r="L2" s="113"/>
      <x:c r="M2" s="113"/>
      <x:c r="N2" s="113"/>
      <x:c r="O2" s="113"/>
    </x:row>
    <x:row r="3">
      <x:c r="A3" s="113"/>
      <x:c r="B3" s="113"/>
      <x:c r="C3" s="113"/>
      <x:c r="D3" s="113"/>
      <x:c r="E3" s="113"/>
      <x:c r="F3" s="113"/>
      <x:c r="G3" s="113"/>
      <x:c r="H3" s="113"/>
      <x:c r="I3" s="113"/>
      <x:c r="J3" s="113"/>
      <x:c r="K3" s="113"/>
      <x:c r="L3" s="113"/>
      <x:c r="M3" s="113"/>
      <x:c r="N3" s="113"/>
      <x:c r="O3" s="113"/>
    </x:row>
    <x:row r="4">
      <x:c r="A4" s="80" t="str">
        <x:v>系统编码</x:v>
      </x:c>
      <x:c r="B4" s="81" t="str">
        <x:v>系统名称</x:v>
      </x:c>
      <x:c r="C4" s="81" t="str">
        <x:v>厂商</x:v>
      </x:c>
      <x:c r="D4" s="81" t="str">
        <x:v>业务域</x:v>
      </x:c>
      <x:c r="E4" s="81" t="str">
        <x:v>Owner部门</x:v>
      </x:c>
      <x:c r="F4" s="81" t="str">
        <x:v>数据库/接口</x:v>
      </x:c>
      <x:c r="G4" s="81" t="str">
        <x:v>采集方式</x:v>
      </x:c>
      <x:c r="H4" s="81" t="str">
        <x:v>刷新频率</x:v>
      </x:c>
      <x:c r="I4" s="81" t="str">
        <x:v>核心表/资源</x:v>
      </x:c>
      <x:c r="J4" s="81" t="str">
        <x:v>高敏字段</x:v>
      </x:c>
      <x:c r="K4" s="81" t="str">
        <x:v>权威字段</x:v>
      </x:c>
      <x:c r="L4" s="81" t="str">
        <x:v>质量基线</x:v>
      </x:c>
      <x:c r="M4" s="81" t="str">
        <x:v>峰值/日增量</x:v>
      </x:c>
      <x:c r="N4" s="81" t="str">
        <x:v>回退方案</x:v>
      </x:c>
      <x:c r="O4" s="82" t="str">
        <x:v>上线状态</x:v>
      </x:c>
    </x:row>
    <x:row r="5">
      <x:c r="A5" s="115" t="str">
        <x:v>HIS</x:v>
      </x:c>
      <x:c r="B5" s="116" t="str">
        <x:v>医院信息系统</x:v>
      </x:c>
      <x:c r="C5" s="116" t="str">
        <x:v>待填</x:v>
      </x:c>
      <x:c r="D5" s="116" t="str">
        <x:v>患者/就诊/医嘱/收费</x:v>
      </x:c>
      <x:c r="E5" s="116" t="str">
        <x:v>医务/财务/信息</x:v>
      </x:c>
      <x:c r="F5" s="116" t="str">
        <x:v>Oracle/接口</x:v>
      </x:c>
      <x:c r="G5" s="116" t="str">
        <x:v>CDC+API</x:v>
      </x:c>
      <x:c r="H5" s="116" t="str">
        <x:v>实时</x:v>
      </x:c>
      <x:c r="I5" s="116" t="str">
        <x:v>患者、就诊、医嘱、费用</x:v>
      </x:c>
      <x:c r="J5" s="116" t="str">
        <x:v>证件/联系方式/诊疗</x:v>
      </x:c>
      <x:c r="K5" s="116" t="str">
        <x:v>患者注册、收费项目</x:v>
      </x:c>
      <x:c r="L5" s="116" t="str">
        <x:v>待剖析</x:v>
      </x:c>
      <x:c r="M5" s="116" t="str">
        <x:v>待压测</x:v>
      </x:c>
      <x:c r="N5" s="116" t="str">
        <x:v>停止CDC+恢复旧接口</x:v>
      </x:c>
      <x:c r="O5" s="119" t="str">
        <x:v>调研</x:v>
      </x:c>
    </x:row>
    <x:row r="6">
      <x:c r="A6" s="115" t="str">
        <x:v>EMR</x:v>
      </x:c>
      <x:c r="B6" s="116" t="str">
        <x:v>电子病历</x:v>
      </x:c>
      <x:c r="C6" s="116" t="str">
        <x:v>待填</x:v>
      </x:c>
      <x:c r="D6" s="116" t="str">
        <x:v>临床病历</x:v>
      </x:c>
      <x:c r="E6" s="116" t="str">
        <x:v>医务/质评</x:v>
      </x:c>
      <x:c r="F6" s="116" t="str">
        <x:v>数据库/接口</x:v>
      </x:c>
      <x:c r="G6" s="116" t="str">
        <x:v>CDC+API</x:v>
      </x:c>
      <x:c r="H6" s="116" t="str">
        <x:v>准实时</x:v>
      </x:c>
      <x:c r="I6" s="116" t="str">
        <x:v>病历索引、诊断、文书状态</x:v>
      </x:c>
      <x:c r="J6" s="116" t="str">
        <x:v>病历正文</x:v>
      </x:c>
      <x:c r="K6" s="116" t="str">
        <x:v>病历签名与版本</x:v>
      </x:c>
      <x:c r="L6" s="116" t="str">
        <x:v>待剖析</x:v>
      </x:c>
      <x:c r="M6" s="116" t="str">
        <x:v>待压测</x:v>
      </x:c>
      <x:c r="N6" s="116" t="str">
        <x:v>只读采集，不反写正文</x:v>
      </x:c>
      <x:c r="O6" s="119" t="str">
        <x:v>调研</x:v>
      </x:c>
    </x:row>
    <x:row r="7">
      <x:c r="A7" s="115" t="str">
        <x:v>LIS</x:v>
      </x:c>
      <x:c r="B7" s="116" t="str">
        <x:v>检验系统</x:v>
      </x:c>
      <x:c r="C7" s="116" t="str">
        <x:v>待填</x:v>
      </x:c>
      <x:c r="D7" s="116" t="str">
        <x:v>检验</x:v>
      </x:c>
      <x:c r="E7" s="116" t="str">
        <x:v>检验科</x:v>
      </x:c>
      <x:c r="F7" s="116" t="str">
        <x:v>数据库/HL7/API</x:v>
      </x:c>
      <x:c r="G7" s="116" t="str">
        <x:v>CDC+消息</x:v>
      </x:c>
      <x:c r="H7" s="116" t="str">
        <x:v>实时</x:v>
      </x:c>
      <x:c r="I7" s="116" t="str">
        <x:v>申请、标本、结果、危急值</x:v>
      </x:c>
      <x:c r="J7" s="116" t="str">
        <x:v>检验结果</x:v>
      </x:c>
      <x:c r="K7" s="116" t="str">
        <x:v>结果与审核状态</x:v>
      </x:c>
      <x:c r="L7" s="116" t="str">
        <x:v>待剖析</x:v>
      </x:c>
      <x:c r="M7" s="116" t="str">
        <x:v>待压测</x:v>
      </x:c>
      <x:c r="N7" s="116" t="str">
        <x:v>消息补偿+报告源系统为准</x:v>
      </x:c>
      <x:c r="O7" s="119" t="str">
        <x:v>调研</x:v>
      </x:c>
    </x:row>
    <x:row r="8">
      <x:c r="A8" s="115" t="str">
        <x:v>PACS/RIS</x:v>
      </x:c>
      <x:c r="B8" s="116" t="str">
        <x:v>影像系统</x:v>
      </x:c>
      <x:c r="C8" s="116" t="str">
        <x:v>待填</x:v>
      </x:c>
      <x:c r="D8" s="116" t="str">
        <x:v>检查影像</x:v>
      </x:c>
      <x:c r="E8" s="116" t="str">
        <x:v>放射/医技</x:v>
      </x:c>
      <x:c r="F8" s="116" t="str">
        <x:v>数据库/DICOM/API</x:v>
      </x:c>
      <x:c r="G8" s="116" t="str">
        <x:v>API+消息</x:v>
      </x:c>
      <x:c r="H8" s="116" t="str">
        <x:v>实时</x:v>
      </x:c>
      <x:c r="I8" s="116" t="str">
        <x:v>申请、预约、报告、影像索引</x:v>
      </x:c>
      <x:c r="J8" s="116" t="str">
        <x:v>报告/影像URI</x:v>
      </x:c>
      <x:c r="K8" s="116" t="str">
        <x:v>报告与影像元数据</x:v>
      </x:c>
      <x:c r="L8" s="116" t="str">
        <x:v>待剖析</x:v>
      </x:c>
      <x:c r="M8" s="116" t="str">
        <x:v>待压测</x:v>
      </x:c>
      <x:c r="N8" s="116" t="str">
        <x:v>不迁移像素正文；源PACS兜底</x:v>
      </x:c>
      <x:c r="O8" s="119" t="str">
        <x:v>调研</x:v>
      </x:c>
    </x:row>
    <x:row r="9">
      <x:c r="A9" s="115" t="str">
        <x:v>手麻</x:v>
      </x:c>
      <x:c r="B9" s="116" t="str">
        <x:v>手术麻醉</x:v>
      </x:c>
      <x:c r="C9" s="116" t="str">
        <x:v>待填</x:v>
      </x:c>
      <x:c r="D9" s="116" t="str">
        <x:v>手术/麻醉</x:v>
      </x:c>
      <x:c r="E9" s="116" t="str">
        <x:v>医务/麻醉科</x:v>
      </x:c>
      <x:c r="F9" s="116" t="str">
        <x:v>数据库/接口</x:v>
      </x:c>
      <x:c r="G9" s="116" t="str">
        <x:v>API+CDC</x:v>
      </x:c>
      <x:c r="H9" s="116" t="str">
        <x:v>实时</x:v>
      </x:c>
      <x:c r="I9" s="116" t="str">
        <x:v>申请、排程、术中、麻醉记录</x:v>
      </x:c>
      <x:c r="J9" s="116" t="str">
        <x:v>临床记录</x:v>
      </x:c>
      <x:c r="K9" s="116" t="str">
        <x:v>手术状态/麻醉记录</x:v>
      </x:c>
      <x:c r="L9" s="116" t="str">
        <x:v>待剖析</x:v>
      </x:c>
      <x:c r="M9" s="116" t="str">
        <x:v>待压测</x:v>
      </x:c>
      <x:c r="N9" s="116" t="str">
        <x:v>旧接口并行</x:v>
      </x:c>
      <x:c r="O9" s="119" t="str">
        <x:v>调研</x:v>
      </x:c>
    </x:row>
    <x:row r="10">
      <x:c r="A10" s="115" t="str">
        <x:v>输血</x:v>
      </x:c>
      <x:c r="B10" s="116" t="str">
        <x:v>输血系统</x:v>
      </x:c>
      <x:c r="C10" s="116" t="str">
        <x:v>待填</x:v>
      </x:c>
      <x:c r="D10" s="116" t="str">
        <x:v>输血</x:v>
      </x:c>
      <x:c r="E10" s="116" t="str">
        <x:v>输血科</x:v>
      </x:c>
      <x:c r="F10" s="116" t="str">
        <x:v>数据库/接口</x:v>
      </x:c>
      <x:c r="G10" s="116" t="str">
        <x:v>API+消息</x:v>
      </x:c>
      <x:c r="H10" s="116" t="str">
        <x:v>实时</x:v>
      </x:c>
      <x:c r="I10" s="116" t="str">
        <x:v>申请、配血、发血、输注</x:v>
      </x:c>
      <x:c r="J10" s="116" t="str">
        <x:v>输血记录</x:v>
      </x:c>
      <x:c r="K10" s="116" t="str">
        <x:v>血制品与输注状态</x:v>
      </x:c>
      <x:c r="L10" s="116" t="str">
        <x:v>待剖析</x:v>
      </x:c>
      <x:c r="M10" s="116" t="str">
        <x:v>待压测</x:v>
      </x:c>
      <x:c r="N10" s="116" t="str">
        <x:v>临床安全人工兜底</x:v>
      </x:c>
      <x:c r="O10" s="119" t="str">
        <x:v>调研</x:v>
      </x:c>
    </x:row>
    <x:row r="11">
      <x:c r="A11" s="115" t="str">
        <x:v>HR</x:v>
      </x:c>
      <x:c r="B11" s="116" t="str">
        <x:v>人力资源</x:v>
      </x:c>
      <x:c r="C11" s="116" t="str">
        <x:v>待填</x:v>
      </x:c>
      <x:c r="D11" s="116" t="str">
        <x:v>人员/组织</x:v>
      </x:c>
      <x:c r="E11" s="116" t="str">
        <x:v>组织人事</x:v>
      </x:c>
      <x:c r="F11" s="116" t="str">
        <x:v>数据库/API</x:v>
      </x:c>
      <x:c r="G11" s="116" t="str">
        <x:v>批量+事件</x:v>
      </x:c>
      <x:c r="H11" s="116" t="str">
        <x:v>5分钟/T+1</x:v>
      </x:c>
      <x:c r="I11" s="116" t="str">
        <x:v>人员、组织、任职、在离职</x:v>
      </x:c>
      <x:c r="J11" s="116" t="str">
        <x:v>身份/薪酬需隔离</x:v>
      </x:c>
      <x:c r="K11" s="116" t="str">
        <x:v>人员基本与组织关系</x:v>
      </x:c>
      <x:c r="L11" s="116" t="str">
        <x:v>待剖析</x:v>
      </x:c>
      <x:c r="M11" s="116" t="str">
        <x:v>待压测</x:v>
      </x:c>
      <x:c r="N11" s="116" t="str">
        <x:v>保留本地缓存</x:v>
      </x:c>
      <x:c r="O11" s="119" t="str">
        <x:v>调研</x:v>
      </x:c>
    </x:row>
    <x:row r="12">
      <x:c r="A12" s="121" t="str">
        <x:v>SPD</x:v>
      </x:c>
      <x:c r="B12" s="123" t="str">
        <x:v>供应链</x:v>
      </x:c>
      <x:c r="C12" s="123" t="str">
        <x:v>待填</x:v>
      </x:c>
      <x:c r="D12" s="123" t="str">
        <x:v>药耗供应商</x:v>
      </x:c>
      <x:c r="E12" s="123" t="str">
        <x:v>药学/设备/采购</x:v>
      </x:c>
      <x:c r="F12" s="123" t="str">
        <x:v>数据库/API</x:v>
      </x:c>
      <x:c r="G12" s="123" t="str">
        <x:v>CDC+批量</x:v>
      </x:c>
      <x:c r="H12" s="123" t="str">
        <x:v>准实时</x:v>
      </x:c>
      <x:c r="I12" s="123" t="str">
        <x:v>药品、耗材、供应商、库存</x:v>
      </x:c>
      <x:c r="J12" s="123" t="str">
        <x:v>合同/价格</x:v>
      </x:c>
      <x:c r="K12" s="123" t="str">
        <x:v>供应商资质、库存</x:v>
      </x:c>
      <x:c r="L12" s="123" t="str">
        <x:v>待剖析</x:v>
      </x:c>
      <x:c r="M12" s="123" t="str">
        <x:v>待压测</x:v>
      </x:c>
      <x:c r="N12" s="123" t="str">
        <x:v>停止分发+旧字典</x:v>
      </x:c>
      <x:c r="O12" s="124" t="str">
        <x:v>调研</x:v>
      </x:c>
    </x:row>
    <x:row r="13">
      <x:c r="A13" s="113"/>
      <x:c r="B13" s="113"/>
      <x:c r="C13" s="113"/>
      <x:c r="D13" s="113"/>
      <x:c r="E13" s="113"/>
      <x:c r="F13" s="113"/>
      <x:c r="G13" s="113"/>
      <x:c r="H13" s="113"/>
      <x:c r="I13" s="113"/>
      <x:c r="J13" s="113"/>
      <x:c r="K13" s="113"/>
      <x:c r="L13" s="113"/>
      <x:c r="M13" s="113"/>
      <x:c r="N13" s="113"/>
      <x:c r="O13" s="113"/>
    </x:row>
    <x:row r="14">
      <x:c r="A14" s="113"/>
      <x:c r="B14" s="113"/>
      <x:c r="C14" s="113"/>
      <x:c r="D14" s="113"/>
      <x:c r="E14" s="113"/>
      <x:c r="F14" s="113"/>
      <x:c r="G14" s="113"/>
      <x:c r="H14" s="113"/>
      <x:c r="I14" s="113"/>
      <x:c r="J14" s="113"/>
      <x:c r="K14" s="113"/>
      <x:c r="L14" s="113"/>
      <x:c r="M14" s="113"/>
      <x:c r="N14" s="113"/>
      <x:c r="O14" s="113"/>
    </x:row>
    <x:row r="15">
      <x:c r="A15" s="113"/>
      <x:c r="B15" s="113"/>
      <x:c r="C15" s="113"/>
      <x:c r="D15" s="113"/>
      <x:c r="E15" s="113"/>
      <x:c r="F15" s="113"/>
      <x:c r="G15" s="113"/>
      <x:c r="H15" s="113"/>
      <x:c r="I15" s="113"/>
      <x:c r="J15" s="113"/>
      <x:c r="K15" s="113"/>
      <x:c r="L15" s="113"/>
      <x:c r="M15" s="113"/>
      <x:c r="N15" s="113"/>
      <x:c r="O15" s="113"/>
    </x:row>
    <x:row r="16">
      <x:c r="A16" s="113"/>
      <x:c r="B16" s="113"/>
      <x:c r="C16" s="113"/>
      <x:c r="D16" s="113"/>
      <x:c r="E16" s="113"/>
      <x:c r="F16" s="113"/>
      <x:c r="G16" s="113"/>
      <x:c r="H16" s="113"/>
      <x:c r="I16" s="113"/>
      <x:c r="J16" s="113"/>
      <x:c r="K16" s="113"/>
      <x:c r="L16" s="113"/>
      <x:c r="M16" s="113"/>
      <x:c r="N16" s="113"/>
      <x:c r="O16" s="113"/>
    </x:row>
    <x:row r="17">
      <x:c r="A17" s="113"/>
      <x:c r="B17" s="113"/>
      <x:c r="C17" s="113"/>
      <x:c r="D17" s="113"/>
      <x:c r="E17" s="113"/>
      <x:c r="F17" s="113"/>
      <x:c r="G17" s="113"/>
      <x:c r="H17" s="113"/>
      <x:c r="I17" s="113"/>
      <x:c r="J17" s="113"/>
      <x:c r="K17" s="113"/>
      <x:c r="L17" s="113"/>
      <x:c r="M17" s="113"/>
      <x:c r="N17" s="113"/>
      <x:c r="O17" s="113"/>
    </x:row>
    <x:row r="18">
      <x:c r="A18" s="113"/>
      <x:c r="B18" s="113"/>
      <x:c r="C18" s="113"/>
      <x:c r="D18" s="113"/>
      <x:c r="E18" s="113"/>
      <x:c r="F18" s="113"/>
      <x:c r="G18" s="113"/>
      <x:c r="H18" s="113"/>
      <x:c r="I18" s="113"/>
      <x:c r="J18" s="113"/>
      <x:c r="K18" s="113"/>
      <x:c r="L18" s="113"/>
      <x:c r="M18" s="113"/>
      <x:c r="N18" s="113"/>
      <x:c r="O18" s="113"/>
    </x:row>
    <x:row r="19">
      <x:c r="A19" s="113"/>
      <x:c r="B19" s="113"/>
      <x:c r="C19" s="113"/>
      <x:c r="D19" s="113"/>
      <x:c r="E19" s="113"/>
      <x:c r="F19" s="113"/>
      <x:c r="G19" s="113"/>
      <x:c r="H19" s="113"/>
      <x:c r="I19" s="113"/>
      <x:c r="J19" s="113"/>
      <x:c r="K19" s="113"/>
      <x:c r="L19" s="113"/>
      <x:c r="M19" s="113"/>
      <x:c r="N19" s="113"/>
      <x:c r="O19" s="113"/>
    </x:row>
    <x:row r="20">
      <x:c r="A20" s="113"/>
      <x:c r="B20" s="113"/>
      <x:c r="C20" s="113"/>
      <x:c r="D20" s="113"/>
      <x:c r="E20" s="113"/>
      <x:c r="F20" s="113"/>
      <x:c r="G20" s="113"/>
      <x:c r="H20" s="113"/>
      <x:c r="I20" s="113"/>
      <x:c r="J20" s="113"/>
      <x:c r="K20" s="113"/>
      <x:c r="L20" s="113"/>
      <x:c r="M20" s="113"/>
      <x:c r="N20" s="113"/>
      <x:c r="O20" s="113"/>
    </x:row>
    <x:row r="21">
      <x:c r="A21" s="113"/>
      <x:c r="B21" s="113"/>
      <x:c r="C21" s="113"/>
      <x:c r="D21" s="113"/>
      <x:c r="E21" s="113"/>
      <x:c r="F21" s="113"/>
      <x:c r="G21" s="113"/>
      <x:c r="H21" s="113"/>
      <x:c r="I21" s="113"/>
      <x:c r="J21" s="113"/>
      <x:c r="K21" s="113"/>
      <x:c r="L21" s="113"/>
      <x:c r="M21" s="113"/>
      <x:c r="N21" s="113"/>
      <x:c r="O21" s="113"/>
    </x:row>
    <x:row r="22">
      <x:c r="A22" s="113"/>
      <x:c r="B22" s="113"/>
      <x:c r="C22" s="113"/>
      <x:c r="D22" s="113"/>
      <x:c r="E22" s="113"/>
      <x:c r="F22" s="113"/>
      <x:c r="G22" s="113"/>
      <x:c r="H22" s="113"/>
      <x:c r="I22" s="113"/>
      <x:c r="J22" s="113"/>
      <x:c r="K22" s="113"/>
      <x:c r="L22" s="113"/>
      <x:c r="M22" s="113"/>
      <x:c r="N22" s="113"/>
      <x:c r="O22" s="113"/>
    </x:row>
    <x:row r="23">
      <x:c r="A23" s="113"/>
      <x:c r="B23" s="113"/>
      <x:c r="C23" s="113"/>
      <x:c r="D23" s="113"/>
      <x:c r="E23" s="113"/>
      <x:c r="F23" s="113"/>
      <x:c r="G23" s="113"/>
      <x:c r="H23" s="113"/>
      <x:c r="I23" s="113"/>
      <x:c r="J23" s="113"/>
      <x:c r="K23" s="113"/>
      <x:c r="L23" s="113"/>
      <x:c r="M23" s="113"/>
      <x:c r="N23" s="113"/>
      <x:c r="O23" s="113"/>
    </x:row>
    <x:row r="24">
      <x:c r="A24" s="113"/>
      <x:c r="B24" s="113"/>
      <x:c r="C24" s="113"/>
      <x:c r="D24" s="113"/>
      <x:c r="E24" s="113"/>
      <x:c r="F24" s="113"/>
      <x:c r="G24" s="113"/>
      <x:c r="H24" s="113"/>
      <x:c r="I24" s="113"/>
      <x:c r="J24" s="113"/>
      <x:c r="K24" s="113"/>
      <x:c r="L24" s="113"/>
      <x:c r="M24" s="113"/>
      <x:c r="N24" s="113"/>
      <x:c r="O24" s="113"/>
    </x:row>
    <x:row r="25">
      <x:c r="A25" s="113"/>
      <x:c r="B25" s="113"/>
      <x:c r="C25" s="113"/>
      <x:c r="D25" s="113"/>
      <x:c r="E25" s="113"/>
      <x:c r="F25" s="113"/>
      <x:c r="G25" s="113"/>
      <x:c r="H25" s="113"/>
      <x:c r="I25" s="113"/>
      <x:c r="J25" s="113"/>
      <x:c r="K25" s="113"/>
      <x:c r="L25" s="113"/>
      <x:c r="M25" s="113"/>
      <x:c r="N25" s="113"/>
      <x:c r="O25" s="113"/>
    </x:row>
    <x:row r="26">
      <x:c r="A26" s="113"/>
      <x:c r="B26" s="113"/>
      <x:c r="C26" s="113"/>
      <x:c r="D26" s="113"/>
      <x:c r="E26" s="113"/>
      <x:c r="F26" s="113"/>
      <x:c r="G26" s="113"/>
      <x:c r="H26" s="113"/>
      <x:c r="I26" s="113"/>
      <x:c r="J26" s="113"/>
      <x:c r="K26" s="113"/>
      <x:c r="L26" s="113"/>
      <x:c r="M26" s="113"/>
      <x:c r="N26" s="113"/>
      <x:c r="O26" s="113"/>
    </x:row>
    <x:row r="27">
      <x:c r="A27" s="113"/>
      <x:c r="B27" s="113"/>
      <x:c r="C27" s="113"/>
      <x:c r="D27" s="113"/>
      <x:c r="E27" s="113"/>
      <x:c r="F27" s="113"/>
      <x:c r="G27" s="113"/>
      <x:c r="H27" s="113"/>
      <x:c r="I27" s="113"/>
      <x:c r="J27" s="113"/>
      <x:c r="K27" s="113"/>
      <x:c r="L27" s="113"/>
      <x:c r="M27" s="113"/>
      <x:c r="N27" s="113"/>
      <x:c r="O27" s="113"/>
    </x:row>
    <x:row r="28">
      <x:c r="A28" s="113"/>
      <x:c r="B28" s="113"/>
      <x:c r="C28" s="113"/>
      <x:c r="D28" s="113"/>
      <x:c r="E28" s="113"/>
      <x:c r="F28" s="113"/>
      <x:c r="G28" s="113"/>
      <x:c r="H28" s="113"/>
      <x:c r="I28" s="113"/>
      <x:c r="J28" s="113"/>
      <x:c r="K28" s="113"/>
      <x:c r="L28" s="113"/>
      <x:c r="M28" s="113"/>
      <x:c r="N28" s="113"/>
      <x:c r="O28" s="113"/>
    </x:row>
    <x:row r="29">
      <x:c r="A29" s="113"/>
      <x:c r="B29" s="113"/>
      <x:c r="C29" s="113"/>
      <x:c r="D29" s="113"/>
      <x:c r="E29" s="113"/>
      <x:c r="F29" s="113"/>
      <x:c r="G29" s="113"/>
      <x:c r="H29" s="113"/>
      <x:c r="I29" s="113"/>
      <x:c r="J29" s="113"/>
      <x:c r="K29" s="113"/>
      <x:c r="L29" s="113"/>
      <x:c r="M29" s="113"/>
      <x:c r="N29" s="113"/>
      <x:c r="O29" s="113"/>
    </x:row>
    <x:row r="30">
      <x:c r="A30" s="113"/>
      <x:c r="B30" s="113"/>
      <x:c r="C30" s="113"/>
      <x:c r="D30" s="113"/>
      <x:c r="E30" s="113"/>
      <x:c r="F30" s="113"/>
      <x:c r="G30" s="113"/>
      <x:c r="H30" s="113"/>
      <x:c r="I30" s="113"/>
      <x:c r="J30" s="113"/>
      <x:c r="K30" s="113"/>
      <x:c r="L30" s="113"/>
      <x:c r="M30" s="113"/>
      <x:c r="N30" s="113"/>
      <x:c r="O30" s="113"/>
    </x:row>
    <x:row r="31">
      <x:c r="A31" s="113"/>
      <x:c r="B31" s="113"/>
      <x:c r="C31" s="113"/>
      <x:c r="D31" s="113"/>
      <x:c r="E31" s="113"/>
      <x:c r="F31" s="113"/>
      <x:c r="G31" s="113"/>
      <x:c r="H31" s="113"/>
      <x:c r="I31" s="113"/>
      <x:c r="J31" s="113"/>
      <x:c r="K31" s="113"/>
      <x:c r="L31" s="113"/>
      <x:c r="M31" s="113"/>
      <x:c r="N31" s="113"/>
      <x:c r="O31" s="113"/>
    </x:row>
    <x:row r="32">
      <x:c r="A32" s="113"/>
      <x:c r="B32" s="113"/>
      <x:c r="C32" s="113"/>
      <x:c r="D32" s="113"/>
      <x:c r="E32" s="113"/>
      <x:c r="F32" s="113"/>
      <x:c r="G32" s="113"/>
      <x:c r="H32" s="113"/>
      <x:c r="I32" s="113"/>
      <x:c r="J32" s="113"/>
      <x:c r="K32" s="113"/>
      <x:c r="L32" s="113"/>
      <x:c r="M32" s="113"/>
      <x:c r="N32" s="113"/>
      <x:c r="O32" s="113"/>
    </x:row>
    <x:row r="33">
      <x:c r="A33" s="113"/>
      <x:c r="B33" s="113"/>
      <x:c r="C33" s="113"/>
      <x:c r="D33" s="113"/>
      <x:c r="E33" s="113"/>
      <x:c r="F33" s="113"/>
      <x:c r="G33" s="113"/>
      <x:c r="H33" s="113"/>
      <x:c r="I33" s="113"/>
      <x:c r="J33" s="113"/>
      <x:c r="K33" s="113"/>
      <x:c r="L33" s="113"/>
      <x:c r="M33" s="113"/>
      <x:c r="N33" s="113"/>
      <x:c r="O33" s="113"/>
    </x:row>
    <x:row r="34">
      <x:c r="A34" s="113"/>
      <x:c r="B34" s="113"/>
      <x:c r="C34" s="113"/>
      <x:c r="D34" s="113"/>
      <x:c r="E34" s="113"/>
      <x:c r="F34" s="113"/>
      <x:c r="G34" s="113"/>
      <x:c r="H34" s="113"/>
      <x:c r="I34" s="113"/>
      <x:c r="J34" s="113"/>
      <x:c r="K34" s="113"/>
      <x:c r="L34" s="113"/>
      <x:c r="M34" s="113"/>
      <x:c r="N34" s="113"/>
      <x:c r="O34" s="113"/>
    </x:row>
    <x:row r="35">
      <x:c r="A35" s="113"/>
      <x:c r="B35" s="113"/>
      <x:c r="C35" s="113"/>
      <x:c r="D35" s="113"/>
      <x:c r="E35" s="113"/>
      <x:c r="F35" s="113"/>
      <x:c r="G35" s="113"/>
      <x:c r="H35" s="113"/>
      <x:c r="I35" s="113"/>
      <x:c r="J35" s="113"/>
      <x:c r="K35" s="113"/>
      <x:c r="L35" s="113"/>
      <x:c r="M35" s="113"/>
      <x:c r="N35" s="113"/>
      <x:c r="O35" s="113"/>
    </x:row>
    <x:row r="36">
      <x:c r="A36" s="113"/>
      <x:c r="B36" s="113"/>
      <x:c r="C36" s="113"/>
      <x:c r="D36" s="113"/>
      <x:c r="E36" s="113"/>
      <x:c r="F36" s="113"/>
      <x:c r="G36" s="113"/>
      <x:c r="H36" s="113"/>
      <x:c r="I36" s="113"/>
      <x:c r="J36" s="113"/>
      <x:c r="K36" s="113"/>
      <x:c r="L36" s="113"/>
      <x:c r="M36" s="113"/>
      <x:c r="N36" s="113"/>
      <x:c r="O36" s="113"/>
    </x:row>
    <x:row r="37">
      <x:c r="A37" s="113"/>
      <x:c r="B37" s="113"/>
      <x:c r="C37" s="113"/>
      <x:c r="D37" s="113"/>
      <x:c r="E37" s="113"/>
      <x:c r="F37" s="113"/>
      <x:c r="G37" s="113"/>
      <x:c r="H37" s="113"/>
      <x:c r="I37" s="113"/>
      <x:c r="J37" s="113"/>
      <x:c r="K37" s="113"/>
      <x:c r="L37" s="113"/>
      <x:c r="M37" s="113"/>
      <x:c r="N37" s="113"/>
      <x:c r="O37" s="113"/>
    </x:row>
    <x:row r="38">
      <x:c r="A38" s="113"/>
      <x:c r="B38" s="113"/>
      <x:c r="C38" s="113"/>
      <x:c r="D38" s="113"/>
      <x:c r="E38" s="113"/>
      <x:c r="F38" s="113"/>
      <x:c r="G38" s="113"/>
      <x:c r="H38" s="113"/>
      <x:c r="I38" s="113"/>
      <x:c r="J38" s="113"/>
      <x:c r="K38" s="113"/>
      <x:c r="L38" s="113"/>
      <x:c r="M38" s="113"/>
      <x:c r="N38" s="113"/>
      <x:c r="O38" s="113"/>
    </x:row>
    <x:row r="39">
      <x:c r="A39" s="113"/>
      <x:c r="B39" s="113"/>
      <x:c r="C39" s="113"/>
      <x:c r="D39" s="113"/>
      <x:c r="E39" s="113"/>
      <x:c r="F39" s="113"/>
      <x:c r="G39" s="113"/>
      <x:c r="H39" s="113"/>
      <x:c r="I39" s="113"/>
      <x:c r="J39" s="113"/>
      <x:c r="K39" s="113"/>
      <x:c r="L39" s="113"/>
      <x:c r="M39" s="113"/>
      <x:c r="N39" s="113"/>
      <x:c r="O39" s="113"/>
    </x:row>
    <x:row r="40">
      <x:c r="A40" s="113"/>
      <x:c r="B40" s="113"/>
      <x:c r="C40" s="113"/>
      <x:c r="D40" s="113"/>
      <x:c r="E40" s="113"/>
      <x:c r="F40" s="113"/>
      <x:c r="G40" s="113"/>
      <x:c r="H40" s="113"/>
      <x:c r="I40" s="113"/>
      <x:c r="J40" s="113"/>
      <x:c r="K40" s="113"/>
      <x:c r="L40" s="113"/>
      <x:c r="M40" s="113"/>
      <x:c r="N40" s="113"/>
      <x:c r="O40" s="113"/>
    </x:row>
    <x:row r="41">
      <x:c r="A41" s="113"/>
      <x:c r="B41" s="113"/>
      <x:c r="C41" s="113"/>
      <x:c r="D41" s="113"/>
      <x:c r="E41" s="113"/>
      <x:c r="F41" s="113"/>
      <x:c r="G41" s="113"/>
      <x:c r="H41" s="113"/>
      <x:c r="I41" s="113"/>
      <x:c r="J41" s="113"/>
      <x:c r="K41" s="113"/>
      <x:c r="L41" s="113"/>
      <x:c r="M41" s="113"/>
      <x:c r="N41" s="113"/>
      <x:c r="O41" s="113"/>
    </x:row>
    <x:row r="42">
      <x:c r="A42" s="113"/>
      <x:c r="B42" s="113"/>
      <x:c r="C42" s="113"/>
      <x:c r="D42" s="113"/>
      <x:c r="E42" s="113"/>
      <x:c r="F42" s="113"/>
      <x:c r="G42" s="113"/>
      <x:c r="H42" s="113"/>
      <x:c r="I42" s="113"/>
      <x:c r="J42" s="113"/>
      <x:c r="K42" s="113"/>
      <x:c r="L42" s="113"/>
      <x:c r="M42" s="113"/>
      <x:c r="N42" s="113"/>
      <x:c r="O42" s="113"/>
    </x:row>
    <x:row r="43">
      <x:c r="A43" s="113"/>
      <x:c r="B43" s="113"/>
      <x:c r="C43" s="113"/>
      <x:c r="D43" s="113"/>
      <x:c r="E43" s="113"/>
      <x:c r="F43" s="113"/>
      <x:c r="G43" s="113"/>
      <x:c r="H43" s="113"/>
      <x:c r="I43" s="113"/>
      <x:c r="J43" s="113"/>
      <x:c r="K43" s="113"/>
      <x:c r="L43" s="113"/>
      <x:c r="M43" s="113"/>
      <x:c r="N43" s="113"/>
      <x:c r="O43" s="113"/>
    </x:row>
    <x:row r="44">
      <x:c r="A44" s="113"/>
      <x:c r="B44" s="113"/>
      <x:c r="C44" s="113"/>
      <x:c r="D44" s="113"/>
      <x:c r="E44" s="113"/>
      <x:c r="F44" s="113"/>
      <x:c r="G44" s="113"/>
      <x:c r="H44" s="113"/>
      <x:c r="I44" s="113"/>
      <x:c r="J44" s="113"/>
      <x:c r="K44" s="113"/>
      <x:c r="L44" s="113"/>
      <x:c r="M44" s="113"/>
      <x:c r="N44" s="113"/>
      <x:c r="O44" s="113"/>
    </x:row>
    <x:row r="45">
      <x:c r="A45" s="113"/>
      <x:c r="B45" s="113"/>
      <x:c r="C45" s="113"/>
      <x:c r="D45" s="113"/>
      <x:c r="E45" s="113"/>
      <x:c r="F45" s="113"/>
      <x:c r="G45" s="113"/>
      <x:c r="H45" s="113"/>
      <x:c r="I45" s="113"/>
      <x:c r="J45" s="113"/>
      <x:c r="K45" s="113"/>
      <x:c r="L45" s="113"/>
      <x:c r="M45" s="113"/>
      <x:c r="N45" s="113"/>
      <x:c r="O45" s="113"/>
    </x:row>
    <x:row r="46">
      <x:c r="A46" s="113"/>
      <x:c r="B46" s="113"/>
      <x:c r="C46" s="113"/>
      <x:c r="D46" s="113"/>
      <x:c r="E46" s="113"/>
      <x:c r="F46" s="113"/>
      <x:c r="G46" s="113"/>
      <x:c r="H46" s="113"/>
      <x:c r="I46" s="113"/>
      <x:c r="J46" s="113"/>
      <x:c r="K46" s="113"/>
      <x:c r="L46" s="113"/>
      <x:c r="M46" s="113"/>
      <x:c r="N46" s="113"/>
      <x:c r="O46" s="113"/>
    </x:row>
    <x:row r="47">
      <x:c r="A47" s="113"/>
      <x:c r="B47" s="113"/>
      <x:c r="C47" s="113"/>
      <x:c r="D47" s="113"/>
      <x:c r="E47" s="113"/>
      <x:c r="F47" s="113"/>
      <x:c r="G47" s="113"/>
      <x:c r="H47" s="113"/>
      <x:c r="I47" s="113"/>
      <x:c r="J47" s="113"/>
      <x:c r="K47" s="113"/>
      <x:c r="L47" s="113"/>
      <x:c r="M47" s="113"/>
      <x:c r="N47" s="113"/>
      <x:c r="O47" s="113"/>
    </x:row>
    <x:row r="48">
      <x:c r="A48" s="113"/>
      <x:c r="B48" s="113"/>
      <x:c r="C48" s="113"/>
      <x:c r="D48" s="113"/>
      <x:c r="E48" s="113"/>
      <x:c r="F48" s="113"/>
      <x:c r="G48" s="113"/>
      <x:c r="H48" s="113"/>
      <x:c r="I48" s="113"/>
      <x:c r="J48" s="113"/>
      <x:c r="K48" s="113"/>
      <x:c r="L48" s="113"/>
      <x:c r="M48" s="113"/>
      <x:c r="N48" s="113"/>
      <x:c r="O48" s="113"/>
    </x:row>
    <x:row r="49">
      <x:c r="A49" s="113"/>
      <x:c r="B49" s="113"/>
      <x:c r="C49" s="113"/>
      <x:c r="D49" s="113"/>
      <x:c r="E49" s="113"/>
      <x:c r="F49" s="113"/>
      <x:c r="G49" s="113"/>
      <x:c r="H49" s="113"/>
      <x:c r="I49" s="113"/>
      <x:c r="J49" s="113"/>
      <x:c r="K49" s="113"/>
      <x:c r="L49" s="113"/>
      <x:c r="M49" s="113"/>
      <x:c r="N49" s="113"/>
      <x:c r="O49" s="113"/>
    </x:row>
    <x:row r="50">
      <x:c r="A50" s="113"/>
      <x:c r="B50" s="113"/>
      <x:c r="C50" s="113"/>
      <x:c r="D50" s="113"/>
      <x:c r="E50" s="113"/>
      <x:c r="F50" s="113"/>
      <x:c r="G50" s="113"/>
      <x:c r="H50" s="113"/>
      <x:c r="I50" s="113"/>
      <x:c r="J50" s="113"/>
      <x:c r="K50" s="113"/>
      <x:c r="L50" s="113"/>
      <x:c r="M50" s="113"/>
      <x:c r="N50" s="113"/>
      <x:c r="O50" s="113"/>
    </x:row>
    <x:row r="51">
      <x:c r="A51" s="113"/>
      <x:c r="B51" s="113"/>
      <x:c r="C51" s="113"/>
      <x:c r="D51" s="113"/>
      <x:c r="E51" s="113"/>
      <x:c r="F51" s="113"/>
      <x:c r="G51" s="113"/>
      <x:c r="H51" s="113"/>
      <x:c r="I51" s="113"/>
      <x:c r="J51" s="113"/>
      <x:c r="K51" s="113"/>
      <x:c r="L51" s="113"/>
      <x:c r="M51" s="113"/>
      <x:c r="N51" s="113"/>
      <x:c r="O51" s="113"/>
    </x:row>
    <x:row r="52">
      <x:c r="A52" s="113"/>
      <x:c r="B52" s="113"/>
      <x:c r="C52" s="113"/>
      <x:c r="D52" s="113"/>
      <x:c r="E52" s="113"/>
      <x:c r="F52" s="113"/>
      <x:c r="G52" s="113"/>
      <x:c r="H52" s="113"/>
      <x:c r="I52" s="113"/>
      <x:c r="J52" s="113"/>
      <x:c r="K52" s="113"/>
      <x:c r="L52" s="113"/>
      <x:c r="M52" s="113"/>
      <x:c r="N52" s="113"/>
      <x:c r="O52" s="113"/>
    </x:row>
    <x:row r="53">
      <x:c r="A53" s="113"/>
      <x:c r="B53" s="113"/>
      <x:c r="C53" s="113"/>
      <x:c r="D53" s="113"/>
      <x:c r="E53" s="113"/>
      <x:c r="F53" s="113"/>
      <x:c r="G53" s="113"/>
      <x:c r="H53" s="113"/>
      <x:c r="I53" s="113"/>
      <x:c r="J53" s="113"/>
      <x:c r="K53" s="113"/>
      <x:c r="L53" s="113"/>
      <x:c r="M53" s="113"/>
      <x:c r="N53" s="113"/>
      <x:c r="O53" s="113"/>
    </x:row>
    <x:row r="54">
      <x:c r="A54" s="113"/>
      <x:c r="B54" s="113"/>
      <x:c r="C54" s="113"/>
      <x:c r="D54" s="113"/>
      <x:c r="E54" s="113"/>
      <x:c r="F54" s="113"/>
      <x:c r="G54" s="113"/>
      <x:c r="H54" s="113"/>
      <x:c r="I54" s="113"/>
      <x:c r="J54" s="113"/>
      <x:c r="K54" s="113"/>
      <x:c r="L54" s="113"/>
      <x:c r="M54" s="113"/>
      <x:c r="N54" s="113"/>
      <x:c r="O54" s="113"/>
    </x:row>
    <x:row r="55">
      <x:c r="A55" s="113"/>
      <x:c r="B55" s="113"/>
      <x:c r="C55" s="113"/>
      <x:c r="D55" s="113"/>
      <x:c r="E55" s="113"/>
      <x:c r="F55" s="113"/>
      <x:c r="G55" s="113"/>
      <x:c r="H55" s="113"/>
      <x:c r="I55" s="113"/>
      <x:c r="J55" s="113"/>
      <x:c r="K55" s="113"/>
      <x:c r="L55" s="113"/>
      <x:c r="M55" s="113"/>
      <x:c r="N55" s="113"/>
      <x:c r="O55" s="113"/>
    </x:row>
    <x:row r="56">
      <x:c r="A56" s="113"/>
      <x:c r="B56" s="113"/>
      <x:c r="C56" s="113"/>
      <x:c r="D56" s="113"/>
      <x:c r="E56" s="113"/>
      <x:c r="F56" s="113"/>
      <x:c r="G56" s="113"/>
      <x:c r="H56" s="113"/>
      <x:c r="I56" s="113"/>
      <x:c r="J56" s="113"/>
      <x:c r="K56" s="113"/>
      <x:c r="L56" s="113"/>
      <x:c r="M56" s="113"/>
      <x:c r="N56" s="113"/>
      <x:c r="O56" s="113"/>
    </x:row>
    <x:row r="57">
      <x:c r="A57" s="113"/>
      <x:c r="B57" s="113"/>
      <x:c r="C57" s="113"/>
      <x:c r="D57" s="113"/>
      <x:c r="E57" s="113"/>
      <x:c r="F57" s="113"/>
      <x:c r="G57" s="113"/>
      <x:c r="H57" s="113"/>
      <x:c r="I57" s="113"/>
      <x:c r="J57" s="113"/>
      <x:c r="K57" s="113"/>
      <x:c r="L57" s="113"/>
      <x:c r="M57" s="113"/>
      <x:c r="N57" s="113"/>
      <x:c r="O57" s="113"/>
    </x:row>
    <x:row r="58">
      <x:c r="A58" s="113"/>
      <x:c r="B58" s="113"/>
      <x:c r="C58" s="113"/>
      <x:c r="D58" s="113"/>
      <x:c r="E58" s="113"/>
      <x:c r="F58" s="113"/>
      <x:c r="G58" s="113"/>
      <x:c r="H58" s="113"/>
      <x:c r="I58" s="113"/>
      <x:c r="J58" s="113"/>
      <x:c r="K58" s="113"/>
      <x:c r="L58" s="113"/>
      <x:c r="M58" s="113"/>
      <x:c r="N58" s="113"/>
      <x:c r="O58" s="113"/>
    </x:row>
    <x:row r="59">
      <x:c r="A59" s="113"/>
      <x:c r="B59" s="113"/>
      <x:c r="C59" s="113"/>
      <x:c r="D59" s="113"/>
      <x:c r="E59" s="113"/>
      <x:c r="F59" s="113"/>
      <x:c r="G59" s="113"/>
      <x:c r="H59" s="113"/>
      <x:c r="I59" s="113"/>
      <x:c r="J59" s="113"/>
      <x:c r="K59" s="113"/>
      <x:c r="L59" s="113"/>
      <x:c r="M59" s="113"/>
      <x:c r="N59" s="113"/>
      <x:c r="O59" s="113"/>
    </x:row>
    <x:row r="60">
      <x:c r="A60" s="113"/>
      <x:c r="B60" s="113"/>
      <x:c r="C60" s="113"/>
      <x:c r="D60" s="113"/>
      <x:c r="E60" s="113"/>
      <x:c r="F60" s="113"/>
      <x:c r="G60" s="113"/>
      <x:c r="H60" s="113"/>
      <x:c r="I60" s="113"/>
      <x:c r="J60" s="113"/>
      <x:c r="K60" s="113"/>
      <x:c r="L60" s="113"/>
      <x:c r="M60" s="113"/>
      <x:c r="N60" s="113"/>
      <x:c r="O60" s="113"/>
    </x:row>
    <x:row r="61">
      <x:c r="A61" s="113"/>
      <x:c r="B61" s="113"/>
      <x:c r="C61" s="113"/>
      <x:c r="D61" s="113"/>
      <x:c r="E61" s="113"/>
      <x:c r="F61" s="113"/>
      <x:c r="G61" s="113"/>
      <x:c r="H61" s="113"/>
      <x:c r="I61" s="113"/>
      <x:c r="J61" s="113"/>
      <x:c r="K61" s="113"/>
      <x:c r="L61" s="113"/>
      <x:c r="M61" s="113"/>
      <x:c r="N61" s="113"/>
      <x:c r="O61" s="113"/>
    </x:row>
    <x:row r="62">
      <x:c r="A62" s="113"/>
      <x:c r="B62" s="113"/>
      <x:c r="C62" s="113"/>
      <x:c r="D62" s="113"/>
      <x:c r="E62" s="113"/>
      <x:c r="F62" s="113"/>
      <x:c r="G62" s="113"/>
      <x:c r="H62" s="113"/>
      <x:c r="I62" s="113"/>
      <x:c r="J62" s="113"/>
      <x:c r="K62" s="113"/>
      <x:c r="L62" s="113"/>
      <x:c r="M62" s="113"/>
      <x:c r="N62" s="113"/>
      <x:c r="O62" s="113"/>
    </x:row>
    <x:row r="63">
      <x:c r="A63" s="113"/>
      <x:c r="B63" s="113"/>
      <x:c r="C63" s="113"/>
      <x:c r="D63" s="113"/>
      <x:c r="E63" s="113"/>
      <x:c r="F63" s="113"/>
      <x:c r="G63" s="113"/>
      <x:c r="H63" s="113"/>
      <x:c r="I63" s="113"/>
      <x:c r="J63" s="113"/>
      <x:c r="K63" s="113"/>
      <x:c r="L63" s="113"/>
      <x:c r="M63" s="113"/>
      <x:c r="N63" s="113"/>
      <x:c r="O63" s="113"/>
    </x:row>
    <x:row r="64">
      <x:c r="A64" s="113"/>
      <x:c r="B64" s="113"/>
      <x:c r="C64" s="113"/>
      <x:c r="D64" s="113"/>
      <x:c r="E64" s="113"/>
      <x:c r="F64" s="113"/>
      <x:c r="G64" s="113"/>
      <x:c r="H64" s="113"/>
      <x:c r="I64" s="113"/>
      <x:c r="J64" s="113"/>
      <x:c r="K64" s="113"/>
      <x:c r="L64" s="113"/>
      <x:c r="M64" s="113"/>
      <x:c r="N64" s="113"/>
      <x:c r="O64" s="113"/>
    </x:row>
    <x:row r="65">
      <x:c r="A65" s="113"/>
      <x:c r="B65" s="113"/>
      <x:c r="C65" s="113"/>
      <x:c r="D65" s="113"/>
      <x:c r="E65" s="113"/>
      <x:c r="F65" s="113"/>
      <x:c r="G65" s="113"/>
      <x:c r="H65" s="113"/>
      <x:c r="I65" s="113"/>
      <x:c r="J65" s="113"/>
      <x:c r="K65" s="113"/>
      <x:c r="L65" s="113"/>
      <x:c r="M65" s="113"/>
      <x:c r="N65" s="113"/>
      <x:c r="O65" s="113"/>
    </x:row>
    <x:row r="66">
      <x:c r="A66" s="113"/>
      <x:c r="B66" s="113"/>
      <x:c r="C66" s="113"/>
      <x:c r="D66" s="113"/>
      <x:c r="E66" s="113"/>
      <x:c r="F66" s="113"/>
      <x:c r="G66" s="113"/>
      <x:c r="H66" s="113"/>
      <x:c r="I66" s="113"/>
      <x:c r="J66" s="113"/>
      <x:c r="K66" s="113"/>
      <x:c r="L66" s="113"/>
      <x:c r="M66" s="113"/>
      <x:c r="N66" s="113"/>
      <x:c r="O66" s="113"/>
    </x:row>
    <x:row r="67">
      <x:c r="A67" s="113"/>
      <x:c r="B67" s="113"/>
      <x:c r="C67" s="113"/>
      <x:c r="D67" s="113"/>
      <x:c r="E67" s="113"/>
      <x:c r="F67" s="113"/>
      <x:c r="G67" s="113"/>
      <x:c r="H67" s="113"/>
      <x:c r="I67" s="113"/>
      <x:c r="J67" s="113"/>
      <x:c r="K67" s="113"/>
      <x:c r="L67" s="113"/>
      <x:c r="M67" s="113"/>
      <x:c r="N67" s="113"/>
      <x:c r="O67" s="113"/>
    </x:row>
    <x:row r="68">
      <x:c r="A68" s="113"/>
      <x:c r="B68" s="113"/>
      <x:c r="C68" s="113"/>
      <x:c r="D68" s="113"/>
      <x:c r="E68" s="113"/>
      <x:c r="F68" s="113"/>
      <x:c r="G68" s="113"/>
      <x:c r="H68" s="113"/>
      <x:c r="I68" s="113"/>
      <x:c r="J68" s="113"/>
      <x:c r="K68" s="113"/>
      <x:c r="L68" s="113"/>
      <x:c r="M68" s="113"/>
      <x:c r="N68" s="113"/>
      <x:c r="O68" s="113"/>
    </x:row>
    <x:row r="69">
      <x:c r="A69" s="113"/>
      <x:c r="B69" s="113"/>
      <x:c r="C69" s="113"/>
      <x:c r="D69" s="113"/>
      <x:c r="E69" s="113"/>
      <x:c r="F69" s="113"/>
      <x:c r="G69" s="113"/>
      <x:c r="H69" s="113"/>
      <x:c r="I69" s="113"/>
      <x:c r="J69" s="113"/>
      <x:c r="K69" s="113"/>
      <x:c r="L69" s="113"/>
      <x:c r="M69" s="113"/>
      <x:c r="N69" s="113"/>
      <x:c r="O69" s="113"/>
    </x:row>
    <x:row r="70">
      <x:c r="A70" s="113"/>
      <x:c r="B70" s="113"/>
      <x:c r="C70" s="113"/>
      <x:c r="D70" s="113"/>
      <x:c r="E70" s="113"/>
      <x:c r="F70" s="113"/>
      <x:c r="G70" s="113"/>
      <x:c r="H70" s="113"/>
      <x:c r="I70" s="113"/>
      <x:c r="J70" s="113"/>
      <x:c r="K70" s="113"/>
      <x:c r="L70" s="113"/>
      <x:c r="M70" s="113"/>
      <x:c r="N70" s="113"/>
      <x:c r="O70" s="113"/>
    </x:row>
    <x:row r="71">
      <x:c r="A71" s="113"/>
      <x:c r="B71" s="113"/>
      <x:c r="C71" s="113"/>
      <x:c r="D71" s="113"/>
      <x:c r="E71" s="113"/>
      <x:c r="F71" s="113"/>
      <x:c r="G71" s="113"/>
      <x:c r="H71" s="113"/>
      <x:c r="I71" s="113"/>
      <x:c r="J71" s="113"/>
      <x:c r="K71" s="113"/>
      <x:c r="L71" s="113"/>
      <x:c r="M71" s="113"/>
      <x:c r="N71" s="113"/>
      <x:c r="O71" s="113"/>
    </x:row>
    <x:row r="72">
      <x:c r="A72" s="113"/>
      <x:c r="B72" s="113"/>
      <x:c r="C72" s="113"/>
      <x:c r="D72" s="113"/>
      <x:c r="E72" s="113"/>
      <x:c r="F72" s="113"/>
      <x:c r="G72" s="113"/>
      <x:c r="H72" s="113"/>
      <x:c r="I72" s="113"/>
      <x:c r="J72" s="113"/>
      <x:c r="K72" s="113"/>
      <x:c r="L72" s="113"/>
      <x:c r="M72" s="113"/>
      <x:c r="N72" s="113"/>
      <x:c r="O72" s="113"/>
    </x:row>
    <x:row r="73">
      <x:c r="A73" s="113"/>
      <x:c r="B73" s="113"/>
      <x:c r="C73" s="113"/>
      <x:c r="D73" s="113"/>
      <x:c r="E73" s="113"/>
      <x:c r="F73" s="113"/>
      <x:c r="G73" s="113"/>
      <x:c r="H73" s="113"/>
      <x:c r="I73" s="113"/>
      <x:c r="J73" s="113"/>
      <x:c r="K73" s="113"/>
      <x:c r="L73" s="113"/>
      <x:c r="M73" s="113"/>
      <x:c r="N73" s="113"/>
      <x:c r="O73" s="113"/>
    </x:row>
    <x:row r="74">
      <x:c r="A74" s="113"/>
      <x:c r="B74" s="113"/>
      <x:c r="C74" s="113"/>
      <x:c r="D74" s="113"/>
      <x:c r="E74" s="113"/>
      <x:c r="F74" s="113"/>
      <x:c r="G74" s="113"/>
      <x:c r="H74" s="113"/>
      <x:c r="I74" s="113"/>
      <x:c r="J74" s="113"/>
      <x:c r="K74" s="113"/>
      <x:c r="L74" s="113"/>
      <x:c r="M74" s="113"/>
      <x:c r="N74" s="113"/>
      <x:c r="O74" s="113"/>
    </x:row>
    <x:row r="75">
      <x:c r="A75" s="113"/>
      <x:c r="B75" s="113"/>
      <x:c r="C75" s="113"/>
      <x:c r="D75" s="113"/>
      <x:c r="E75" s="113"/>
      <x:c r="F75" s="113"/>
      <x:c r="G75" s="113"/>
      <x:c r="H75" s="113"/>
      <x:c r="I75" s="113"/>
      <x:c r="J75" s="113"/>
      <x:c r="K75" s="113"/>
      <x:c r="L75" s="113"/>
      <x:c r="M75" s="113"/>
      <x:c r="N75" s="113"/>
      <x:c r="O75" s="113"/>
    </x:row>
    <x:row r="76">
      <x:c r="A76" s="113"/>
      <x:c r="B76" s="113"/>
      <x:c r="C76" s="113"/>
      <x:c r="D76" s="113"/>
      <x:c r="E76" s="113"/>
      <x:c r="F76" s="113"/>
      <x:c r="G76" s="113"/>
      <x:c r="H76" s="113"/>
      <x:c r="I76" s="113"/>
      <x:c r="J76" s="113"/>
      <x:c r="K76" s="113"/>
      <x:c r="L76" s="113"/>
      <x:c r="M76" s="113"/>
      <x:c r="N76" s="113"/>
      <x:c r="O76" s="113"/>
    </x:row>
    <x:row r="77">
      <x:c r="A77" s="113"/>
      <x:c r="B77" s="113"/>
      <x:c r="C77" s="113"/>
      <x:c r="D77" s="113"/>
      <x:c r="E77" s="113"/>
      <x:c r="F77" s="113"/>
      <x:c r="G77" s="113"/>
      <x:c r="H77" s="113"/>
      <x:c r="I77" s="113"/>
      <x:c r="J77" s="113"/>
      <x:c r="K77" s="113"/>
      <x:c r="L77" s="113"/>
      <x:c r="M77" s="113"/>
      <x:c r="N77" s="113"/>
      <x:c r="O77" s="113"/>
    </x:row>
    <x:row r="78">
      <x:c r="A78" s="113"/>
      <x:c r="B78" s="113"/>
      <x:c r="C78" s="113"/>
      <x:c r="D78" s="113"/>
      <x:c r="E78" s="113"/>
      <x:c r="F78" s="113"/>
      <x:c r="G78" s="113"/>
      <x:c r="H78" s="113"/>
      <x:c r="I78" s="113"/>
      <x:c r="J78" s="113"/>
      <x:c r="K78" s="113"/>
      <x:c r="L78" s="113"/>
      <x:c r="M78" s="113"/>
      <x:c r="N78" s="113"/>
      <x:c r="O78" s="113"/>
    </x:row>
    <x:row r="79">
      <x:c r="A79" s="113"/>
      <x:c r="B79" s="113"/>
      <x:c r="C79" s="113"/>
      <x:c r="D79" s="113"/>
      <x:c r="E79" s="113"/>
      <x:c r="F79" s="113"/>
      <x:c r="G79" s="113"/>
      <x:c r="H79" s="113"/>
      <x:c r="I79" s="113"/>
      <x:c r="J79" s="113"/>
      <x:c r="K79" s="113"/>
      <x:c r="L79" s="113"/>
      <x:c r="M79" s="113"/>
      <x:c r="N79" s="113"/>
      <x:c r="O79" s="113"/>
    </x:row>
    <x:row r="80">
      <x:c r="A80" s="113"/>
      <x:c r="B80" s="113"/>
      <x:c r="C80" s="113"/>
      <x:c r="D80" s="113"/>
      <x:c r="E80" s="113"/>
      <x:c r="F80" s="113"/>
      <x:c r="G80" s="113"/>
      <x:c r="H80" s="113"/>
      <x:c r="I80" s="113"/>
      <x:c r="J80" s="113"/>
      <x:c r="K80" s="113"/>
      <x:c r="L80" s="113"/>
      <x:c r="M80" s="113"/>
      <x:c r="N80" s="113"/>
      <x:c r="O80" s="113"/>
    </x:row>
    <x:row r="81">
      <x:c r="A81" s="113"/>
      <x:c r="B81" s="113"/>
      <x:c r="C81" s="113"/>
      <x:c r="D81" s="113"/>
      <x:c r="E81" s="113"/>
      <x:c r="F81" s="113"/>
      <x:c r="G81" s="113"/>
      <x:c r="H81" s="113"/>
      <x:c r="I81" s="113"/>
      <x:c r="J81" s="113"/>
      <x:c r="K81" s="113"/>
      <x:c r="L81" s="113"/>
      <x:c r="M81" s="113"/>
      <x:c r="N81" s="113"/>
      <x:c r="O81" s="113"/>
    </x:row>
    <x:row r="82">
      <x:c r="A82" s="113"/>
      <x:c r="B82" s="113"/>
      <x:c r="C82" s="113"/>
      <x:c r="D82" s="113"/>
      <x:c r="E82" s="113"/>
      <x:c r="F82" s="113"/>
      <x:c r="G82" s="113"/>
      <x:c r="H82" s="113"/>
      <x:c r="I82" s="113"/>
      <x:c r="J82" s="113"/>
      <x:c r="K82" s="113"/>
      <x:c r="L82" s="113"/>
      <x:c r="M82" s="113"/>
      <x:c r="N82" s="113"/>
      <x:c r="O82" s="113"/>
    </x:row>
    <x:row r="83">
      <x:c r="A83" s="113"/>
      <x:c r="B83" s="113"/>
      <x:c r="C83" s="113"/>
      <x:c r="D83" s="113"/>
      <x:c r="E83" s="113"/>
      <x:c r="F83" s="113"/>
      <x:c r="G83" s="113"/>
      <x:c r="H83" s="113"/>
      <x:c r="I83" s="113"/>
      <x:c r="J83" s="113"/>
      <x:c r="K83" s="113"/>
      <x:c r="L83" s="113"/>
      <x:c r="M83" s="113"/>
      <x:c r="N83" s="113"/>
      <x:c r="O83" s="113"/>
    </x:row>
    <x:row r="84">
      <x:c r="A84" s="113"/>
      <x:c r="B84" s="113"/>
      <x:c r="C84" s="113"/>
      <x:c r="D84" s="113"/>
      <x:c r="E84" s="113"/>
      <x:c r="F84" s="113"/>
      <x:c r="G84" s="113"/>
      <x:c r="H84" s="113"/>
      <x:c r="I84" s="113"/>
      <x:c r="J84" s="113"/>
      <x:c r="K84" s="113"/>
      <x:c r="L84" s="113"/>
      <x:c r="M84" s="113"/>
      <x:c r="N84" s="113"/>
      <x:c r="O84" s="113"/>
    </x:row>
    <x:row r="85">
      <x:c r="A85" s="113"/>
      <x:c r="B85" s="113"/>
      <x:c r="C85" s="113"/>
      <x:c r="D85" s="113"/>
      <x:c r="E85" s="113"/>
      <x:c r="F85" s="113"/>
      <x:c r="G85" s="113"/>
      <x:c r="H85" s="113"/>
      <x:c r="I85" s="113"/>
      <x:c r="J85" s="113"/>
      <x:c r="K85" s="113"/>
      <x:c r="L85" s="113"/>
      <x:c r="M85" s="113"/>
      <x:c r="N85" s="113"/>
      <x:c r="O85" s="113"/>
    </x:row>
    <x:row r="86">
      <x:c r="A86" s="113"/>
      <x:c r="B86" s="113"/>
      <x:c r="C86" s="113"/>
      <x:c r="D86" s="113"/>
      <x:c r="E86" s="113"/>
      <x:c r="F86" s="113"/>
      <x:c r="G86" s="113"/>
      <x:c r="H86" s="113"/>
      <x:c r="I86" s="113"/>
      <x:c r="J86" s="113"/>
      <x:c r="K86" s="113"/>
      <x:c r="L86" s="113"/>
      <x:c r="M86" s="113"/>
      <x:c r="N86" s="113"/>
      <x:c r="O86" s="113"/>
    </x:row>
    <x:row r="87">
      <x:c r="A87" s="113"/>
      <x:c r="B87" s="113"/>
      <x:c r="C87" s="113"/>
      <x:c r="D87" s="113"/>
      <x:c r="E87" s="113"/>
      <x:c r="F87" s="113"/>
      <x:c r="G87" s="113"/>
      <x:c r="H87" s="113"/>
      <x:c r="I87" s="113"/>
      <x:c r="J87" s="113"/>
      <x:c r="K87" s="113"/>
      <x:c r="L87" s="113"/>
      <x:c r="M87" s="113"/>
      <x:c r="N87" s="113"/>
      <x:c r="O87" s="113"/>
    </x:row>
    <x:row r="88">
      <x:c r="A88" s="113"/>
      <x:c r="B88" s="113"/>
      <x:c r="C88" s="113"/>
      <x:c r="D88" s="113"/>
      <x:c r="E88" s="113"/>
      <x:c r="F88" s="113"/>
      <x:c r="G88" s="113"/>
      <x:c r="H88" s="113"/>
      <x:c r="I88" s="113"/>
      <x:c r="J88" s="113"/>
      <x:c r="K88" s="113"/>
      <x:c r="L88" s="113"/>
      <x:c r="M88" s="113"/>
      <x:c r="N88" s="113"/>
      <x:c r="O88" s="113"/>
    </x:row>
    <x:row r="89">
      <x:c r="A89" s="113"/>
      <x:c r="B89" s="113"/>
      <x:c r="C89" s="113"/>
      <x:c r="D89" s="113"/>
      <x:c r="E89" s="113"/>
      <x:c r="F89" s="113"/>
      <x:c r="G89" s="113"/>
      <x:c r="H89" s="113"/>
      <x:c r="I89" s="113"/>
      <x:c r="J89" s="113"/>
      <x:c r="K89" s="113"/>
      <x:c r="L89" s="113"/>
      <x:c r="M89" s="113"/>
      <x:c r="N89" s="113"/>
      <x:c r="O89" s="113"/>
    </x:row>
    <x:row r="90">
      <x:c r="A90" s="113"/>
      <x:c r="B90" s="113"/>
      <x:c r="C90" s="113"/>
      <x:c r="D90" s="113"/>
      <x:c r="E90" s="113"/>
      <x:c r="F90" s="113"/>
      <x:c r="G90" s="113"/>
      <x:c r="H90" s="113"/>
      <x:c r="I90" s="113"/>
      <x:c r="J90" s="113"/>
      <x:c r="K90" s="113"/>
      <x:c r="L90" s="113"/>
      <x:c r="M90" s="113"/>
      <x:c r="N90" s="113"/>
      <x:c r="O90" s="113"/>
    </x:row>
    <x:row r="91">
      <x:c r="A91" s="113"/>
      <x:c r="B91" s="113"/>
      <x:c r="C91" s="113"/>
      <x:c r="D91" s="113"/>
      <x:c r="E91" s="113"/>
      <x:c r="F91" s="113"/>
      <x:c r="G91" s="113"/>
      <x:c r="H91" s="113"/>
      <x:c r="I91" s="113"/>
      <x:c r="J91" s="113"/>
      <x:c r="K91" s="113"/>
      <x:c r="L91" s="113"/>
      <x:c r="M91" s="113"/>
      <x:c r="N91" s="113"/>
      <x:c r="O91" s="113"/>
    </x:row>
    <x:row r="92">
      <x:c r="A92" s="113"/>
      <x:c r="B92" s="113"/>
      <x:c r="C92" s="113"/>
      <x:c r="D92" s="113"/>
      <x:c r="E92" s="113"/>
      <x:c r="F92" s="113"/>
      <x:c r="G92" s="113"/>
      <x:c r="H92" s="113"/>
      <x:c r="I92" s="113"/>
      <x:c r="J92" s="113"/>
      <x:c r="K92" s="113"/>
      <x:c r="L92" s="113"/>
      <x:c r="M92" s="113"/>
      <x:c r="N92" s="113"/>
      <x:c r="O92" s="113"/>
    </x:row>
    <x:row r="93">
      <x:c r="A93" s="113"/>
      <x:c r="B93" s="113"/>
      <x:c r="C93" s="113"/>
      <x:c r="D93" s="113"/>
      <x:c r="E93" s="113"/>
      <x:c r="F93" s="113"/>
      <x:c r="G93" s="113"/>
      <x:c r="H93" s="113"/>
      <x:c r="I93" s="113"/>
      <x:c r="J93" s="113"/>
      <x:c r="K93" s="113"/>
      <x:c r="L93" s="113"/>
      <x:c r="M93" s="113"/>
      <x:c r="N93" s="113"/>
      <x:c r="O93" s="113"/>
    </x:row>
    <x:row r="94">
      <x:c r="A94" s="113"/>
      <x:c r="B94" s="113"/>
      <x:c r="C94" s="113"/>
      <x:c r="D94" s="113"/>
      <x:c r="E94" s="113"/>
      <x:c r="F94" s="113"/>
      <x:c r="G94" s="113"/>
      <x:c r="H94" s="113"/>
      <x:c r="I94" s="113"/>
      <x:c r="J94" s="113"/>
      <x:c r="K94" s="113"/>
      <x:c r="L94" s="113"/>
      <x:c r="M94" s="113"/>
      <x:c r="N94" s="113"/>
      <x:c r="O94" s="113"/>
    </x:row>
    <x:row r="95">
      <x:c r="A95" s="113"/>
      <x:c r="B95" s="113"/>
      <x:c r="C95" s="113"/>
      <x:c r="D95" s="113"/>
      <x:c r="E95" s="113"/>
      <x:c r="F95" s="113"/>
      <x:c r="G95" s="113"/>
      <x:c r="H95" s="113"/>
      <x:c r="I95" s="113"/>
      <x:c r="J95" s="113"/>
      <x:c r="K95" s="113"/>
      <x:c r="L95" s="113"/>
      <x:c r="M95" s="113"/>
      <x:c r="N95" s="113"/>
      <x:c r="O95" s="113"/>
    </x:row>
    <x:row r="96">
      <x:c r="A96" s="113"/>
      <x:c r="B96" s="113"/>
      <x:c r="C96" s="113"/>
      <x:c r="D96" s="113"/>
      <x:c r="E96" s="113"/>
      <x:c r="F96" s="113"/>
      <x:c r="G96" s="113"/>
      <x:c r="H96" s="113"/>
      <x:c r="I96" s="113"/>
      <x:c r="J96" s="113"/>
      <x:c r="K96" s="113"/>
      <x:c r="L96" s="113"/>
      <x:c r="M96" s="113"/>
      <x:c r="N96" s="113"/>
      <x:c r="O96" s="113"/>
    </x:row>
    <x:row r="97">
      <x:c r="A97" s="113"/>
      <x:c r="B97" s="113"/>
      <x:c r="C97" s="113"/>
      <x:c r="D97" s="113"/>
      <x:c r="E97" s="113"/>
      <x:c r="F97" s="113"/>
      <x:c r="G97" s="113"/>
      <x:c r="H97" s="113"/>
      <x:c r="I97" s="113"/>
      <x:c r="J97" s="113"/>
      <x:c r="K97" s="113"/>
      <x:c r="L97" s="113"/>
      <x:c r="M97" s="113"/>
      <x:c r="N97" s="113"/>
      <x:c r="O97" s="113"/>
    </x:row>
    <x:row r="98">
      <x:c r="A98" s="113"/>
      <x:c r="B98" s="113"/>
      <x:c r="C98" s="113"/>
      <x:c r="D98" s="113"/>
      <x:c r="E98" s="113"/>
      <x:c r="F98" s="113"/>
      <x:c r="G98" s="113"/>
      <x:c r="H98" s="113"/>
      <x:c r="I98" s="113"/>
      <x:c r="J98" s="113"/>
      <x:c r="K98" s="113"/>
      <x:c r="L98" s="113"/>
      <x:c r="M98" s="113"/>
      <x:c r="N98" s="113"/>
      <x:c r="O98" s="113"/>
    </x:row>
    <x:row r="99">
      <x:c r="A99" s="113"/>
      <x:c r="B99" s="113"/>
      <x:c r="C99" s="113"/>
      <x:c r="D99" s="113"/>
      <x:c r="E99" s="113"/>
      <x:c r="F99" s="113"/>
      <x:c r="G99" s="113"/>
      <x:c r="H99" s="113"/>
      <x:c r="I99" s="113"/>
      <x:c r="J99" s="113"/>
      <x:c r="K99" s="113"/>
      <x:c r="L99" s="113"/>
      <x:c r="M99" s="113"/>
      <x:c r="N99" s="113"/>
      <x:c r="O99" s="113"/>
    </x:row>
    <x:row r="100">
      <x:c r="A100" s="113"/>
      <x:c r="B100" s="113"/>
      <x:c r="C100" s="113"/>
      <x:c r="D100" s="113"/>
      <x:c r="E100" s="113"/>
      <x:c r="F100" s="113"/>
      <x:c r="G100" s="113"/>
      <x:c r="H100" s="113"/>
      <x:c r="I100" s="113"/>
      <x:c r="J100" s="113"/>
      <x:c r="K100" s="113"/>
      <x:c r="L100" s="113"/>
      <x:c r="M100" s="113"/>
      <x:c r="N100" s="113"/>
      <x:c r="O100" s="113"/>
    </x:row>
    <x:row r="101">
      <x:c r="A101" s="113"/>
      <x:c r="B101" s="113"/>
      <x:c r="C101" s="113"/>
      <x:c r="D101" s="113"/>
      <x:c r="E101" s="113"/>
      <x:c r="F101" s="113"/>
      <x:c r="G101" s="113"/>
      <x:c r="H101" s="113"/>
      <x:c r="I101" s="113"/>
      <x:c r="J101" s="113"/>
      <x:c r="K101" s="113"/>
      <x:c r="L101" s="113"/>
      <x:c r="M101" s="113"/>
      <x:c r="N101" s="113"/>
      <x:c r="O101" s="113"/>
    </x:row>
    <x:row r="102">
      <x:c r="A102" s="113"/>
      <x:c r="B102" s="113"/>
      <x:c r="C102" s="113"/>
      <x:c r="D102" s="113"/>
      <x:c r="E102" s="113"/>
      <x:c r="F102" s="113"/>
      <x:c r="G102" s="113"/>
      <x:c r="H102" s="113"/>
      <x:c r="I102" s="113"/>
      <x:c r="J102" s="113"/>
      <x:c r="K102" s="113"/>
      <x:c r="L102" s="113"/>
      <x:c r="M102" s="113"/>
      <x:c r="N102" s="113"/>
      <x:c r="O102" s="113"/>
    </x:row>
    <x:row r="103">
      <x:c r="A103" s="113"/>
      <x:c r="B103" s="113"/>
      <x:c r="C103" s="113"/>
      <x:c r="D103" s="113"/>
      <x:c r="E103" s="113"/>
      <x:c r="F103" s="113"/>
      <x:c r="G103" s="113"/>
      <x:c r="H103" s="113"/>
      <x:c r="I103" s="113"/>
      <x:c r="J103" s="113"/>
      <x:c r="K103" s="113"/>
      <x:c r="L103" s="113"/>
      <x:c r="M103" s="113"/>
      <x:c r="N103" s="113"/>
      <x:c r="O103" s="113"/>
    </x:row>
    <x:row r="104">
      <x:c r="A104" s="113"/>
      <x:c r="B104" s="113"/>
      <x:c r="C104" s="113"/>
      <x:c r="D104" s="113"/>
      <x:c r="E104" s="113"/>
      <x:c r="F104" s="113"/>
      <x:c r="G104" s="113"/>
      <x:c r="H104" s="113"/>
      <x:c r="I104" s="113"/>
      <x:c r="J104" s="113"/>
      <x:c r="K104" s="113"/>
      <x:c r="L104" s="113"/>
      <x:c r="M104" s="113"/>
      <x:c r="N104" s="113"/>
      <x:c r="O104" s="113"/>
    </x:row>
    <x:row r="105">
      <x:c r="A105" s="113"/>
      <x:c r="B105" s="113"/>
      <x:c r="C105" s="113"/>
      <x:c r="D105" s="113"/>
      <x:c r="E105" s="113"/>
      <x:c r="F105" s="113"/>
      <x:c r="G105" s="113"/>
      <x:c r="H105" s="113"/>
      <x:c r="I105" s="113"/>
      <x:c r="J105" s="113"/>
      <x:c r="K105" s="113"/>
      <x:c r="L105" s="113"/>
      <x:c r="M105" s="113"/>
      <x:c r="N105" s="113"/>
      <x:c r="O105" s="113"/>
    </x:row>
    <x:row r="106">
      <x:c r="A106" s="113"/>
      <x:c r="B106" s="113"/>
      <x:c r="C106" s="113"/>
      <x:c r="D106" s="113"/>
      <x:c r="E106" s="113"/>
      <x:c r="F106" s="113"/>
      <x:c r="G106" s="113"/>
      <x:c r="H106" s="113"/>
      <x:c r="I106" s="113"/>
      <x:c r="J106" s="113"/>
      <x:c r="K106" s="113"/>
      <x:c r="L106" s="113"/>
      <x:c r="M106" s="113"/>
      <x:c r="N106" s="113"/>
      <x:c r="O106" s="113"/>
    </x:row>
    <x:row r="107">
      <x:c r="A107" s="113"/>
      <x:c r="B107" s="113"/>
      <x:c r="C107" s="113"/>
      <x:c r="D107" s="113"/>
      <x:c r="E107" s="113"/>
      <x:c r="F107" s="113"/>
      <x:c r="G107" s="113"/>
      <x:c r="H107" s="113"/>
      <x:c r="I107" s="113"/>
      <x:c r="J107" s="113"/>
      <x:c r="K107" s="113"/>
      <x:c r="L107" s="113"/>
      <x:c r="M107" s="113"/>
      <x:c r="N107" s="113"/>
      <x:c r="O107" s="113"/>
    </x:row>
    <x:row r="108">
      <x:c r="A108" s="113"/>
      <x:c r="B108" s="113"/>
      <x:c r="C108" s="113"/>
      <x:c r="D108" s="113"/>
      <x:c r="E108" s="113"/>
      <x:c r="F108" s="113"/>
      <x:c r="G108" s="113"/>
      <x:c r="H108" s="113"/>
      <x:c r="I108" s="113"/>
      <x:c r="J108" s="113"/>
      <x:c r="K108" s="113"/>
      <x:c r="L108" s="113"/>
      <x:c r="M108" s="113"/>
      <x:c r="N108" s="113"/>
      <x:c r="O108" s="113"/>
    </x:row>
    <x:row r="109">
      <x:c r="A109" s="113"/>
      <x:c r="B109" s="113"/>
      <x:c r="C109" s="113"/>
      <x:c r="D109" s="113"/>
      <x:c r="E109" s="113"/>
      <x:c r="F109" s="113"/>
      <x:c r="G109" s="113"/>
      <x:c r="H109" s="113"/>
      <x:c r="I109" s="113"/>
      <x:c r="J109" s="113"/>
      <x:c r="K109" s="113"/>
      <x:c r="L109" s="113"/>
      <x:c r="M109" s="113"/>
      <x:c r="N109" s="113"/>
      <x:c r="O109" s="113"/>
    </x:row>
    <x:row r="110">
      <x:c r="A110" s="113"/>
      <x:c r="B110" s="113"/>
      <x:c r="C110" s="113"/>
      <x:c r="D110" s="113"/>
      <x:c r="E110" s="113"/>
      <x:c r="F110" s="113"/>
      <x:c r="G110" s="113"/>
      <x:c r="H110" s="113"/>
      <x:c r="I110" s="113"/>
      <x:c r="J110" s="113"/>
      <x:c r="K110" s="113"/>
      <x:c r="L110" s="113"/>
      <x:c r="M110" s="113"/>
      <x:c r="N110" s="113"/>
      <x:c r="O110" s="113"/>
    </x:row>
    <x:row r="111">
      <x:c r="A111" s="113"/>
      <x:c r="B111" s="113"/>
      <x:c r="C111" s="113"/>
      <x:c r="D111" s="113"/>
      <x:c r="E111" s="113"/>
      <x:c r="F111" s="113"/>
      <x:c r="G111" s="113"/>
      <x:c r="H111" s="113"/>
      <x:c r="I111" s="113"/>
      <x:c r="J111" s="113"/>
      <x:c r="K111" s="113"/>
      <x:c r="L111" s="113"/>
      <x:c r="M111" s="113"/>
      <x:c r="N111" s="113"/>
      <x:c r="O111" s="113"/>
    </x:row>
    <x:row r="112">
      <x:c r="A112" s="113"/>
      <x:c r="B112" s="113"/>
      <x:c r="C112" s="113"/>
      <x:c r="D112" s="113"/>
      <x:c r="E112" s="113"/>
      <x:c r="F112" s="113"/>
      <x:c r="G112" s="113"/>
      <x:c r="H112" s="113"/>
      <x:c r="I112" s="113"/>
      <x:c r="J112" s="113"/>
      <x:c r="K112" s="113"/>
      <x:c r="L112" s="113"/>
      <x:c r="M112" s="113"/>
      <x:c r="N112" s="113"/>
      <x:c r="O112" s="113"/>
    </x:row>
    <x:row r="113">
      <x:c r="A113" s="113"/>
      <x:c r="B113" s="113"/>
      <x:c r="C113" s="113"/>
      <x:c r="D113" s="113"/>
      <x:c r="E113" s="113"/>
      <x:c r="F113" s="113"/>
      <x:c r="G113" s="113"/>
      <x:c r="H113" s="113"/>
      <x:c r="I113" s="113"/>
      <x:c r="J113" s="113"/>
      <x:c r="K113" s="113"/>
      <x:c r="L113" s="113"/>
      <x:c r="M113" s="113"/>
      <x:c r="N113" s="113"/>
      <x:c r="O113" s="113"/>
    </x:row>
    <x:row r="114">
      <x:c r="A114" s="113"/>
      <x:c r="B114" s="113"/>
      <x:c r="C114" s="113"/>
      <x:c r="D114" s="113"/>
      <x:c r="E114" s="113"/>
      <x:c r="F114" s="113"/>
      <x:c r="G114" s="113"/>
      <x:c r="H114" s="113"/>
      <x:c r="I114" s="113"/>
      <x:c r="J114" s="113"/>
      <x:c r="K114" s="113"/>
      <x:c r="L114" s="113"/>
      <x:c r="M114" s="113"/>
      <x:c r="N114" s="113"/>
      <x:c r="O114" s="113"/>
    </x:row>
    <x:row r="115">
      <x:c r="A115" s="113"/>
      <x:c r="B115" s="113"/>
      <x:c r="C115" s="113"/>
      <x:c r="D115" s="113"/>
      <x:c r="E115" s="113"/>
      <x:c r="F115" s="113"/>
      <x:c r="G115" s="113"/>
      <x:c r="H115" s="113"/>
      <x:c r="I115" s="113"/>
      <x:c r="J115" s="113"/>
      <x:c r="K115" s="113"/>
      <x:c r="L115" s="113"/>
      <x:c r="M115" s="113"/>
      <x:c r="N115" s="113"/>
      <x:c r="O115" s="113"/>
    </x:row>
    <x:row r="116">
      <x:c r="A116" s="113"/>
      <x:c r="B116" s="113"/>
      <x:c r="C116" s="113"/>
      <x:c r="D116" s="113"/>
      <x:c r="E116" s="113"/>
      <x:c r="F116" s="113"/>
      <x:c r="G116" s="113"/>
      <x:c r="H116" s="113"/>
      <x:c r="I116" s="113"/>
      <x:c r="J116" s="113"/>
      <x:c r="K116" s="113"/>
      <x:c r="L116" s="113"/>
      <x:c r="M116" s="113"/>
      <x:c r="N116" s="113"/>
      <x:c r="O116" s="113"/>
    </x:row>
    <x:row r="117">
      <x:c r="A117" s="113"/>
      <x:c r="B117" s="113"/>
      <x:c r="C117" s="113"/>
      <x:c r="D117" s="113"/>
      <x:c r="E117" s="113"/>
      <x:c r="F117" s="113"/>
      <x:c r="G117" s="113"/>
      <x:c r="H117" s="113"/>
      <x:c r="I117" s="113"/>
      <x:c r="J117" s="113"/>
      <x:c r="K117" s="113"/>
      <x:c r="L117" s="113"/>
      <x:c r="M117" s="113"/>
      <x:c r="N117" s="113"/>
      <x:c r="O117" s="113"/>
    </x:row>
    <x:row r="118">
      <x:c r="A118" s="113"/>
      <x:c r="B118" s="113"/>
      <x:c r="C118" s="113"/>
      <x:c r="D118" s="113"/>
      <x:c r="E118" s="113"/>
      <x:c r="F118" s="113"/>
      <x:c r="G118" s="113"/>
      <x:c r="H118" s="113"/>
      <x:c r="I118" s="113"/>
      <x:c r="J118" s="113"/>
      <x:c r="K118" s="113"/>
      <x:c r="L118" s="113"/>
      <x:c r="M118" s="113"/>
      <x:c r="N118" s="113"/>
      <x:c r="O118" s="113"/>
    </x:row>
    <x:row r="119">
      <x:c r="A119" s="113"/>
      <x:c r="B119" s="113"/>
      <x:c r="C119" s="113"/>
      <x:c r="D119" s="113"/>
      <x:c r="E119" s="113"/>
      <x:c r="F119" s="113"/>
      <x:c r="G119" s="113"/>
      <x:c r="H119" s="113"/>
      <x:c r="I119" s="113"/>
      <x:c r="J119" s="113"/>
      <x:c r="K119" s="113"/>
      <x:c r="L119" s="113"/>
      <x:c r="M119" s="113"/>
      <x:c r="N119" s="113"/>
      <x:c r="O119" s="113"/>
    </x:row>
    <x:row r="120">
      <x:c r="A120" s="113"/>
      <x:c r="B120" s="113"/>
      <x:c r="C120" s="113"/>
      <x:c r="D120" s="113"/>
      <x:c r="E120" s="113"/>
      <x:c r="F120" s="113"/>
      <x:c r="G120" s="113"/>
      <x:c r="H120" s="113"/>
      <x:c r="I120" s="113"/>
      <x:c r="J120" s="113"/>
      <x:c r="K120" s="113"/>
      <x:c r="L120" s="113"/>
      <x:c r="M120" s="113"/>
      <x:c r="N120" s="113"/>
      <x:c r="O120" s="113"/>
    </x:row>
  </x:sheetData>
  <x:mergeCells>
    <x:mergeCell ref="A1:L1"/>
  </x:mergeCells>
  <x:dataValidations count="1">
    <x:dataValidation type="list" sqref="O5:O100">
      <x:formula1>"未开始,调研,开发,联调,影子运行,灰度,已上线,暂停"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4" hidden="0" customWidth="1"/>
    <x:col min="4" max="4" width="40" hidden="0" customWidth="1"/>
    <x:col min="6" max="6" width="25" hidden="0" customWidth="1"/>
    <x:col min="7" max="7" width="40" hidden="0" customWidth="1"/>
    <x:col min="8" max="8" width="24" hidden="0" customWidth="1"/>
    <x:col min="9" max="9" width="28" hidden="0" customWidth="1"/>
  </x:cols>
  <x:sheetData>
    <x:row r="1" ht="28" customHeight="1">
      <x:c r="A1" s="77" t="str">
        <x:v>详细设计附录总览与关键规模指标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113"/>
      <x:c r="N1" s="113"/>
      <x:c r="O1" s="113"/>
    </x:row>
    <x:row r="2">
      <x:c r="A2" s="113"/>
      <x:c r="B2" s="113"/>
      <x:c r="C2" s="113"/>
      <x:c r="D2" s="113"/>
      <x:c r="E2" s="113"/>
      <x:c r="F2" s="113"/>
      <x:c r="G2" s="113"/>
      <x:c r="H2" s="113"/>
      <x:c r="I2" s="113"/>
      <x:c r="J2" s="113"/>
      <x:c r="K2" s="113"/>
      <x:c r="L2" s="113"/>
      <x:c r="M2" s="113"/>
      <x:c r="N2" s="113"/>
      <x:c r="O2" s="113"/>
    </x:row>
    <x:row r="3">
      <x:c r="A3" s="113"/>
      <x:c r="B3" s="113"/>
      <x:c r="C3" s="113"/>
      <x:c r="D3" s="113"/>
      <x:c r="E3" s="113"/>
      <x:c r="F3" s="113"/>
      <x:c r="G3" s="113"/>
      <x:c r="H3" s="113"/>
      <x:c r="I3" s="113"/>
      <x:c r="J3" s="113"/>
      <x:c r="K3" s="113"/>
      <x:c r="L3" s="113"/>
      <x:c r="M3" s="113"/>
      <x:c r="N3" s="113"/>
      <x:c r="O3" s="113"/>
    </x:row>
    <x:row r="4">
      <x:c r="A4" s="80" t="str">
        <x:v>关键指标</x:v>
      </x:c>
      <x:c r="B4" s="81" t="str">
        <x:v>值</x:v>
      </x:c>
      <x:c r="C4" s="81" t="str">
        <x:v>单位</x:v>
      </x:c>
      <x:c r="D4" s="82" t="str">
        <x:v>说明</x:v>
      </x:c>
      <x:c r="E4" s="113"/>
      <x:c r="F4" s="80" t="str">
        <x:v>交付工作表</x:v>
      </x:c>
      <x:c r="G4" s="81" t="str">
        <x:v>用途</x:v>
      </x:c>
      <x:c r="H4" s="81" t="str">
        <x:v>维护人</x:v>
      </x:c>
      <x:c r="I4" s="82" t="str">
        <x:v>使用时点</x:v>
      </x:c>
      <x:c r="J4" s="113"/>
      <x:c r="K4" s="113"/>
      <x:c r="L4" s="113"/>
      <x:c r="M4" s="113"/>
      <x:c r="N4" s="113"/>
      <x:c r="O4" s="113"/>
    </x:row>
    <x:row r="5">
      <x:c r="A5" s="155" t="str">
        <x:v>院区数量</x:v>
      </x:c>
      <x:c r="B5" s="156" t="n">
        <x:f>'01_规模假设'!F6</x:f>
        <x:v>3</x:v>
      </x:c>
      <x:c r="C5" s="113" t="str">
        <x:v>个</x:v>
      </x:c>
      <x:c r="D5" s="157" t="str">
        <x:v>可编辑于规模假设</x:v>
      </x:c>
      <x:c r="E5" s="113"/>
      <x:c r="F5" s="115" t="str">
        <x:v>01_规模假设</x:v>
      </x:c>
      <x:c r="G5" s="116" t="str">
        <x:v>容量测算输入与公式</x:v>
      </x:c>
      <x:c r="H5" s="116" t="str">
        <x:v>架构师/信息中心</x:v>
      </x:c>
      <x:c r="I5" s="119" t="str">
        <x:v>立项、采购前校准</x:v>
      </x:c>
      <x:c r="J5" s="113"/>
      <x:c r="K5" s="113"/>
      <x:c r="L5" s="113"/>
      <x:c r="M5" s="113"/>
      <x:c r="N5" s="113"/>
      <x:c r="O5" s="113"/>
    </x:row>
    <x:row r="6">
      <x:c r="A6" s="155" t="str">
        <x:v>开放床位</x:v>
      </x:c>
      <x:c r="B6" s="156" t="n">
        <x:f>'01_规模假设'!F7</x:f>
        <x:v>3500</x:v>
      </x:c>
      <x:c r="C6" s="113" t="str">
        <x:v>张</x:v>
      </x:c>
      <x:c r="D6" s="157" t="str"/>
      <x:c r="E6" s="113"/>
      <x:c r="F6" s="115" t="str">
        <x:v>02_服务器规划</x:v>
      </x:c>
      <x:c r="G6" s="116" t="str">
        <x:v>生产/灾备节点规划</x:v>
      </x:c>
      <x:c r="H6" s="116" t="str">
        <x:v>基础设施/SRE</x:v>
      </x:c>
      <x:c r="I6" s="119" t="str">
        <x:v>预算、招标、扩容</x:v>
      </x:c>
      <x:c r="J6" s="113"/>
      <x:c r="K6" s="113"/>
      <x:c r="L6" s="113"/>
      <x:c r="M6" s="113"/>
      <x:c r="N6" s="113"/>
      <x:c r="O6" s="113"/>
    </x:row>
    <x:row r="7">
      <x:c r="A7" s="155" t="str">
        <x:v>源系统数量</x:v>
      </x:c>
      <x:c r="B7" s="156" t="n">
        <x:f>'01_规模假设'!F10</x:f>
        <x:v>180</x:v>
      </x:c>
      <x:c r="C7" s="113" t="str">
        <x:v>套</x:v>
      </x:c>
      <x:c r="D7" s="157" t="str"/>
      <x:c r="E7" s="113"/>
      <x:c r="F7" s="115" t="str">
        <x:v>03_组件选型</x:v>
      </x:c>
      <x:c r="G7" s="116" t="str">
        <x:v>开源组件与替代方案</x:v>
      </x:c>
      <x:c r="H7" s="116" t="str">
        <x:v>架构组</x:v>
      </x:c>
      <x:c r="I7" s="119" t="str">
        <x:v>PoC和选型评审</x:v>
      </x:c>
      <x:c r="J7" s="113"/>
      <x:c r="K7" s="113"/>
      <x:c r="L7" s="113"/>
      <x:c r="M7" s="113"/>
      <x:c r="N7" s="113"/>
      <x:c r="O7" s="113"/>
    </x:row>
    <x:row r="8">
      <x:c r="A8" s="155" t="str">
        <x:v>规划年限</x:v>
      </x:c>
      <x:c r="B8" s="156" t="n">
        <x:f>'01_规模假设'!F17</x:f>
        <x:v>5</x:v>
      </x:c>
      <x:c r="C8" s="113" t="str">
        <x:v>年</x:v>
      </x:c>
      <x:c r="D8" s="157" t="str"/>
      <x:c r="E8" s="113"/>
      <x:c r="F8" s="115" t="str">
        <x:v>04_HA_RTO_RPO</x:v>
      </x:c>
      <x:c r="G8" s="116" t="str">
        <x:v>组件级高可用与灾备</x:v>
      </x:c>
      <x:c r="H8" s="116" t="str">
        <x:v>SRE/业务Owner</x:v>
      </x:c>
      <x:c r="I8" s="119" t="str">
        <x:v>SLA和演练</x:v>
      </x:c>
      <x:c r="J8" s="113"/>
      <x:c r="K8" s="113"/>
      <x:c r="L8" s="113"/>
      <x:c r="M8" s="113"/>
      <x:c r="N8" s="113"/>
      <x:c r="O8" s="113"/>
    </x:row>
    <x:row r="9">
      <x:c r="A9" s="155" t="str">
        <x:v>建议原始对象容量</x:v>
      </x:c>
      <x:c r="B9" s="156" t="n">
        <x:f>'01_规模假设'!J11</x:f>
        <x:v>2043.3094537080224</x:v>
      </x:c>
      <x:c r="C9" s="113" t="str">
        <x:v>TB</x:v>
      </x:c>
      <x:c r="D9" s="157" t="str">
        <x:v>含结构化、日志及派生数据</x:v>
      </x:c>
      <x:c r="E9" s="113"/>
      <x:c r="F9" s="115" t="str">
        <x:v>05_数据库表目录</x:v>
      </x:c>
      <x:c r="G9" s="116" t="str">
        <x:v>逻辑实体与物理设计</x:v>
      </x:c>
      <x:c r="H9" s="116" t="str">
        <x:v>DBA/开发</x:v>
      </x:c>
      <x:c r="I9" s="119" t="str">
        <x:v>详细设计和开发</x:v>
      </x:c>
      <x:c r="J9" s="113"/>
      <x:c r="K9" s="113"/>
      <x:c r="L9" s="113"/>
      <x:c r="M9" s="113"/>
      <x:c r="N9" s="113"/>
      <x:c r="O9" s="113"/>
    </x:row>
    <x:row r="10">
      <x:c r="A10" s="155" t="str">
        <x:v>CDC峰值</x:v>
      </x:c>
      <x:c r="B10" s="156" t="n">
        <x:f>'01_规模假设'!F14</x:f>
        <x:v>30000</x:v>
      </x:c>
      <x:c r="C10" s="113" t="str">
        <x:v>条/秒</x:v>
      </x:c>
      <x:c r="D10" s="157" t="str"/>
      <x:c r="E10" s="113"/>
      <x:c r="F10" s="115" t="str">
        <x:v>06_API目录</x:v>
      </x:c>
      <x:c r="G10" s="116" t="str">
        <x:v>同步接口与FHIR</x:v>
      </x:c>
      <x:c r="H10" s="116" t="str">
        <x:v>接口组</x:v>
      </x:c>
      <x:c r="I10" s="119" t="str">
        <x:v>联调和验收</x:v>
      </x:c>
      <x:c r="J10" s="113"/>
      <x:c r="K10" s="113"/>
      <x:c r="L10" s="113"/>
      <x:c r="M10" s="113"/>
      <x:c r="N10" s="113"/>
      <x:c r="O10" s="113"/>
    </x:row>
    <x:row r="11">
      <x:c r="A11" s="155" t="str">
        <x:v>API峰值</x:v>
      </x:c>
      <x:c r="B11" s="156" t="n">
        <x:f>'01_规模假设'!F15</x:f>
        <x:v>3000</x:v>
      </x:c>
      <x:c r="C11" s="113" t="str">
        <x:v>QPS</x:v>
      </x:c>
      <x:c r="D11" s="157" t="str"/>
      <x:c r="E11" s="113"/>
      <x:c r="F11" s="115" t="str">
        <x:v>07_Topic目录</x:v>
      </x:c>
      <x:c r="G11" s="116" t="str">
        <x:v>消息治理</x:v>
      </x:c>
      <x:c r="H11" s="116" t="str">
        <x:v>事件平台</x:v>
      </x:c>
      <x:c r="I11" s="119" t="str">
        <x:v>生产消费审批</x:v>
      </x:c>
      <x:c r="J11" s="113"/>
      <x:c r="K11" s="113"/>
      <x:c r="L11" s="113"/>
      <x:c r="M11" s="113"/>
      <x:c r="N11" s="113"/>
      <x:c r="O11" s="113"/>
    </x:row>
    <x:row r="12">
      <x:c r="A12" s="155" t="str">
        <x:v>生产服务器节点参考</x:v>
      </x:c>
      <x:c r="B12" s="156" t="n">
        <x:f>SUM('02_服务器规划'!C6:C22)</x:f>
        <x:v>67</x:v>
      </x:c>
      <x:c r="C12" s="113" t="str">
        <x:v>节点</x:v>
      </x:c>
      <x:c r="D12" s="157" t="str">
        <x:v>不含网络与既有虚拟化</x:v>
      </x:c>
      <x:c r="E12" s="113"/>
      <x:c r="F12" s="115" t="str">
        <x:v>08_质量规则</x:v>
      </x:c>
      <x:c r="G12" s="116" t="str">
        <x:v>质量门禁与工单</x:v>
      </x:c>
      <x:c r="H12" s="116" t="str">
        <x:v>Owner/Steward</x:v>
      </x:c>
      <x:c r="I12" s="119" t="str">
        <x:v>规则评审和运营</x:v>
      </x:c>
      <x:c r="J12" s="113"/>
      <x:c r="K12" s="113"/>
      <x:c r="L12" s="113"/>
      <x:c r="M12" s="113"/>
      <x:c r="N12" s="113"/>
      <x:c r="O12" s="113"/>
    </x:row>
    <x:row r="13">
      <x:c r="A13" s="155" t="str">
        <x:v>P0服务器节点参考</x:v>
      </x:c>
      <x:c r="B13" s="156" t="n">
        <x:f>SUMIF('02_服务器规划'!K6:K22,"P0",'02_服务器规划'!C6:C22)</x:f>
        <x:v>52</x:v>
      </x:c>
      <x:c r="C13" s="113" t="str">
        <x:v>节点</x:v>
      </x:c>
      <x:c r="D13" s="157" t="str">
        <x:v>首期必须保障</x:v>
      </x:c>
      <x:c r="E13" s="113"/>
      <x:c r="F13" s="115" t="str">
        <x:v>09_RACI</x:v>
      </x:c>
      <x:c r="G13" s="116" t="str">
        <x:v>组织责任</x:v>
      </x:c>
      <x:c r="H13" s="116" t="str">
        <x:v>治理办公室</x:v>
      </x:c>
      <x:c r="I13" s="119" t="str">
        <x:v>制度和考核</x:v>
      </x:c>
      <x:c r="J13" s="113"/>
      <x:c r="K13" s="113"/>
      <x:c r="L13" s="113"/>
      <x:c r="M13" s="113"/>
      <x:c r="N13" s="113"/>
      <x:c r="O13" s="113"/>
    </x:row>
    <x:row r="14">
      <x:c r="A14" s="158" t="str">
        <x:v>核心验收用例数</x:v>
      </x:c>
      <x:c r="B14" s="159" t="n">
        <x:f>COUNTA('11_验收测试'!A5:A100)</x:f>
        <x:v>16</x:v>
      </x:c>
      <x:c r="C14" s="160" t="str">
        <x:v>个</x:v>
      </x:c>
      <x:c r="D14" s="161" t="str"/>
      <x:c r="E14" s="113"/>
      <x:c r="F14" s="115" t="str">
        <x:v>10_失败案例复盘</x:v>
      </x:c>
      <x:c r="G14" s="116" t="str">
        <x:v>反模式与控制</x:v>
      </x:c>
      <x:c r="H14" s="116" t="str">
        <x:v>PMO/审计</x:v>
      </x:c>
      <x:c r="I14" s="119" t="str">
        <x:v>设计评审和复盘</x:v>
      </x:c>
      <x:c r="J14" s="113"/>
      <x:c r="K14" s="113"/>
      <x:c r="L14" s="113"/>
      <x:c r="M14" s="113"/>
      <x:c r="N14" s="113"/>
      <x:c r="O14" s="113"/>
    </x:row>
    <x:row r="15">
      <x:c r="A15" s="113"/>
      <x:c r="B15" s="113"/>
      <x:c r="C15" s="113"/>
      <x:c r="D15" s="113"/>
      <x:c r="E15" s="113"/>
      <x:c r="F15" s="115" t="str">
        <x:v>11_验收测试</x:v>
      </x:c>
      <x:c r="G15" s="116" t="str">
        <x:v>UAT/性能/HA/安全</x:v>
      </x:c>
      <x:c r="H15" s="116" t="str">
        <x:v>测试经理</x:v>
      </x:c>
      <x:c r="I15" s="119" t="str">
        <x:v>分阶段验收</x:v>
      </x:c>
      <x:c r="J15" s="113"/>
      <x:c r="K15" s="113"/>
      <x:c r="L15" s="113"/>
      <x:c r="M15" s="113"/>
      <x:c r="N15" s="113"/>
      <x:c r="O15" s="113"/>
    </x:row>
    <x:row r="16">
      <x:c r="A16" s="113"/>
      <x:c r="B16" s="113"/>
      <x:c r="C16" s="113"/>
      <x:c r="D16" s="113"/>
      <x:c r="E16" s="113"/>
      <x:c r="F16" s="121" t="str">
        <x:v>12_源系统接入模板</x:v>
      </x:c>
      <x:c r="G16" s="123" t="str">
        <x:v>逐系统接入底稿</x:v>
      </x:c>
      <x:c r="H16" s="123" t="str">
        <x:v>接口/数据工程师</x:v>
      </x:c>
      <x:c r="I16" s="124" t="str">
        <x:v>调研、上线</x:v>
      </x:c>
      <x:c r="J16" s="113"/>
      <x:c r="K16" s="113"/>
      <x:c r="L16" s="113"/>
      <x:c r="M16" s="113"/>
      <x:c r="N16" s="113"/>
      <x:c r="O16" s="113"/>
    </x:row>
    <x:row r="17">
      <x:c r="A17" s="113"/>
      <x:c r="B17" s="113"/>
      <x:c r="C17" s="113"/>
      <x:c r="D17" s="113"/>
      <x:c r="E17" s="113"/>
      <x:c r="F17" s="113"/>
      <x:c r="G17" s="113"/>
      <x:c r="H17" s="113"/>
      <x:c r="I17" s="113"/>
      <x:c r="J17" s="113"/>
      <x:c r="K17" s="113"/>
      <x:c r="L17" s="113"/>
      <x:c r="M17" s="113"/>
      <x:c r="N17" s="113"/>
      <x:c r="O17" s="113"/>
    </x:row>
    <x:row r="18">
      <x:c r="A18" s="113"/>
      <x:c r="B18" s="113"/>
      <x:c r="C18" s="113"/>
      <x:c r="D18" s="113"/>
      <x:c r="E18" s="113"/>
      <x:c r="F18" s="113"/>
      <x:c r="G18" s="113"/>
      <x:c r="H18" s="113"/>
      <x:c r="I18" s="113"/>
      <x:c r="J18" s="113"/>
      <x:c r="K18" s="113"/>
      <x:c r="L18" s="113"/>
      <x:c r="M18" s="113"/>
      <x:c r="N18" s="113"/>
      <x:c r="O18" s="113"/>
    </x:row>
    <x:row r="19">
      <x:c r="A19" s="113"/>
      <x:c r="B19" s="113"/>
      <x:c r="C19" s="113"/>
      <x:c r="D19" s="113"/>
      <x:c r="E19" s="113"/>
      <x:c r="F19" s="113"/>
      <x:c r="G19" s="113"/>
      <x:c r="H19" s="113"/>
      <x:c r="I19" s="113"/>
      <x:c r="J19" s="113"/>
      <x:c r="K19" s="113"/>
      <x:c r="L19" s="113"/>
      <x:c r="M19" s="113"/>
      <x:c r="N19" s="113"/>
      <x:c r="O19" s="113"/>
    </x:row>
    <x:row r="20">
      <x:c r="A20" s="113"/>
      <x:c r="B20" s="113"/>
      <x:c r="C20" s="113"/>
      <x:c r="D20" s="113"/>
      <x:c r="E20" s="113"/>
      <x:c r="F20" s="113"/>
      <x:c r="G20" s="113"/>
      <x:c r="H20" s="113"/>
      <x:c r="I20" s="113"/>
      <x:c r="J20" s="113"/>
      <x:c r="K20" s="113"/>
      <x:c r="L20" s="113"/>
      <x:c r="M20" s="113"/>
      <x:c r="N20" s="113"/>
      <x:c r="O20" s="113"/>
    </x:row>
    <x:row r="21">
      <x:c r="A21" s="113"/>
      <x:c r="B21" s="113"/>
      <x:c r="C21" s="113"/>
      <x:c r="D21" s="113"/>
      <x:c r="E21" s="113"/>
      <x:c r="F21" s="113"/>
      <x:c r="G21" s="113"/>
      <x:c r="H21" s="113"/>
      <x:c r="I21" s="113"/>
      <x:c r="J21" s="113"/>
      <x:c r="K21" s="113"/>
      <x:c r="L21" s="113"/>
      <x:c r="M21" s="113"/>
      <x:c r="N21" s="113"/>
      <x:c r="O21" s="113"/>
    </x:row>
    <x:row r="22">
      <x:c r="A22" s="113"/>
      <x:c r="B22" s="113"/>
      <x:c r="C22" s="113"/>
      <x:c r="D22" s="113"/>
      <x:c r="E22" s="113"/>
      <x:c r="F22" s="113"/>
      <x:c r="G22" s="113"/>
      <x:c r="H22" s="113"/>
      <x:c r="I22" s="113"/>
      <x:c r="J22" s="113"/>
      <x:c r="K22" s="113"/>
      <x:c r="L22" s="113"/>
      <x:c r="M22" s="113"/>
      <x:c r="N22" s="113"/>
      <x:c r="O22" s="113"/>
    </x:row>
    <x:row r="23">
      <x:c r="A23" s="113"/>
      <x:c r="B23" s="113"/>
      <x:c r="C23" s="113"/>
      <x:c r="D23" s="113"/>
      <x:c r="E23" s="113"/>
      <x:c r="F23" s="113"/>
      <x:c r="G23" s="113"/>
      <x:c r="H23" s="113"/>
      <x:c r="I23" s="113"/>
      <x:c r="J23" s="113"/>
      <x:c r="K23" s="113"/>
      <x:c r="L23" s="113"/>
      <x:c r="M23" s="113"/>
      <x:c r="N23" s="113"/>
      <x:c r="O23" s="113"/>
    </x:row>
    <x:row r="24">
      <x:c r="A24" s="113"/>
      <x:c r="B24" s="113"/>
      <x:c r="C24" s="113"/>
      <x:c r="D24" s="113"/>
      <x:c r="E24" s="113"/>
      <x:c r="F24" s="113"/>
      <x:c r="G24" s="113"/>
      <x:c r="H24" s="113"/>
      <x:c r="I24" s="113"/>
      <x:c r="J24" s="113"/>
      <x:c r="K24" s="113"/>
      <x:c r="L24" s="113"/>
      <x:c r="M24" s="113"/>
      <x:c r="N24" s="113"/>
      <x:c r="O24" s="113"/>
    </x:row>
    <x:row r="25">
      <x:c r="A25" s="113"/>
      <x:c r="B25" s="113"/>
      <x:c r="C25" s="113"/>
      <x:c r="D25" s="113"/>
      <x:c r="E25" s="113"/>
      <x:c r="F25" s="113"/>
      <x:c r="G25" s="113"/>
      <x:c r="H25" s="113"/>
      <x:c r="I25" s="113"/>
      <x:c r="J25" s="113"/>
      <x:c r="K25" s="113"/>
      <x:c r="L25" s="113"/>
      <x:c r="M25" s="113"/>
      <x:c r="N25" s="113"/>
      <x:c r="O25" s="113"/>
    </x:row>
    <x:row r="26">
      <x:c r="A26" s="113"/>
      <x:c r="B26" s="113"/>
      <x:c r="C26" s="113"/>
      <x:c r="D26" s="113"/>
      <x:c r="E26" s="113"/>
      <x:c r="F26" s="113"/>
      <x:c r="G26" s="113"/>
      <x:c r="H26" s="113"/>
      <x:c r="I26" s="113"/>
      <x:c r="J26" s="113"/>
      <x:c r="K26" s="113"/>
      <x:c r="L26" s="113"/>
      <x:c r="M26" s="113"/>
      <x:c r="N26" s="113"/>
      <x:c r="O26" s="113"/>
    </x:row>
    <x:row r="27">
      <x:c r="A27" s="113"/>
      <x:c r="B27" s="113"/>
      <x:c r="C27" s="113"/>
      <x:c r="D27" s="113"/>
      <x:c r="E27" s="113"/>
      <x:c r="F27" s="113"/>
      <x:c r="G27" s="113"/>
      <x:c r="H27" s="113"/>
      <x:c r="I27" s="113"/>
      <x:c r="J27" s="113"/>
      <x:c r="K27" s="113"/>
      <x:c r="L27" s="113"/>
      <x:c r="M27" s="113"/>
      <x:c r="N27" s="113"/>
      <x:c r="O27" s="113"/>
    </x:row>
    <x:row r="28">
      <x:c r="A28" s="113"/>
      <x:c r="B28" s="113"/>
      <x:c r="C28" s="113"/>
      <x:c r="D28" s="113"/>
      <x:c r="E28" s="113"/>
      <x:c r="F28" s="113"/>
      <x:c r="G28" s="113"/>
      <x:c r="H28" s="113"/>
      <x:c r="I28" s="113"/>
      <x:c r="J28" s="113"/>
      <x:c r="K28" s="113"/>
      <x:c r="L28" s="113"/>
      <x:c r="M28" s="113"/>
      <x:c r="N28" s="113"/>
      <x:c r="O28" s="113"/>
    </x:row>
    <x:row r="29">
      <x:c r="A29" s="113"/>
      <x:c r="B29" s="113"/>
      <x:c r="C29" s="113"/>
      <x:c r="D29" s="113"/>
      <x:c r="E29" s="113"/>
      <x:c r="F29" s="113"/>
      <x:c r="G29" s="113"/>
      <x:c r="H29" s="113"/>
      <x:c r="I29" s="113"/>
      <x:c r="J29" s="113"/>
      <x:c r="K29" s="113"/>
      <x:c r="L29" s="113"/>
      <x:c r="M29" s="113"/>
      <x:c r="N29" s="113"/>
      <x:c r="O29" s="113"/>
    </x:row>
    <x:row r="30">
      <x:c r="A30" s="113"/>
      <x:c r="B30" s="113"/>
      <x:c r="C30" s="113"/>
      <x:c r="D30" s="113"/>
      <x:c r="E30" s="113"/>
      <x:c r="F30" s="113"/>
      <x:c r="G30" s="113"/>
      <x:c r="H30" s="113"/>
      <x:c r="I30" s="113"/>
      <x:c r="J30" s="113"/>
      <x:c r="K30" s="113"/>
      <x:c r="L30" s="113"/>
      <x:c r="M30" s="113"/>
      <x:c r="N30" s="113"/>
      <x:c r="O30" s="113"/>
    </x:row>
    <x:row r="31">
      <x:c r="A31" s="113"/>
      <x:c r="B31" s="113"/>
      <x:c r="C31" s="113"/>
      <x:c r="D31" s="113"/>
      <x:c r="E31" s="113"/>
      <x:c r="F31" s="113"/>
      <x:c r="G31" s="113"/>
      <x:c r="H31" s="113"/>
      <x:c r="I31" s="113"/>
      <x:c r="J31" s="113"/>
      <x:c r="K31" s="113"/>
      <x:c r="L31" s="113"/>
      <x:c r="M31" s="113"/>
      <x:c r="N31" s="113"/>
      <x:c r="O31" s="113"/>
    </x:row>
    <x:row r="32">
      <x:c r="A32" s="113"/>
      <x:c r="B32" s="113"/>
      <x:c r="C32" s="113"/>
      <x:c r="D32" s="113"/>
      <x:c r="E32" s="113"/>
      <x:c r="F32" s="113"/>
      <x:c r="G32" s="113"/>
      <x:c r="H32" s="113"/>
      <x:c r="I32" s="113"/>
      <x:c r="J32" s="113"/>
      <x:c r="K32" s="113"/>
      <x:c r="L32" s="113"/>
      <x:c r="M32" s="113"/>
      <x:c r="N32" s="113"/>
      <x:c r="O32" s="113"/>
    </x:row>
    <x:row r="33">
      <x:c r="A33" s="113"/>
      <x:c r="B33" s="113"/>
      <x:c r="C33" s="113"/>
      <x:c r="D33" s="113"/>
      <x:c r="E33" s="113"/>
      <x:c r="F33" s="113"/>
      <x:c r="G33" s="113"/>
      <x:c r="H33" s="113"/>
      <x:c r="I33" s="113"/>
      <x:c r="J33" s="113"/>
      <x:c r="K33" s="113"/>
      <x:c r="L33" s="113"/>
      <x:c r="M33" s="113"/>
      <x:c r="N33" s="113"/>
      <x:c r="O33" s="113"/>
    </x:row>
    <x:row r="34">
      <x:c r="A34" s="113"/>
      <x:c r="B34" s="113"/>
      <x:c r="C34" s="113"/>
      <x:c r="D34" s="113"/>
      <x:c r="E34" s="113"/>
      <x:c r="F34" s="113"/>
      <x:c r="G34" s="113"/>
      <x:c r="H34" s="113"/>
      <x:c r="I34" s="113"/>
      <x:c r="J34" s="113"/>
      <x:c r="K34" s="113"/>
      <x:c r="L34" s="113"/>
      <x:c r="M34" s="113"/>
      <x:c r="N34" s="113"/>
      <x:c r="O34" s="113"/>
    </x:row>
    <x:row r="35">
      <x:c r="A35" s="113"/>
      <x:c r="B35" s="113"/>
      <x:c r="C35" s="113"/>
      <x:c r="D35" s="113"/>
      <x:c r="E35" s="113"/>
      <x:c r="F35" s="113"/>
      <x:c r="G35" s="113"/>
      <x:c r="H35" s="113"/>
      <x:c r="I35" s="113"/>
      <x:c r="J35" s="113"/>
      <x:c r="K35" s="113"/>
      <x:c r="L35" s="113"/>
      <x:c r="M35" s="113"/>
      <x:c r="N35" s="113"/>
      <x:c r="O35" s="113"/>
    </x:row>
    <x:row r="36">
      <x:c r="A36" s="113"/>
      <x:c r="B36" s="113"/>
      <x:c r="C36" s="113"/>
      <x:c r="D36" s="113"/>
      <x:c r="E36" s="113"/>
      <x:c r="F36" s="113"/>
      <x:c r="G36" s="113"/>
      <x:c r="H36" s="113"/>
      <x:c r="I36" s="113"/>
      <x:c r="J36" s="113"/>
      <x:c r="K36" s="113"/>
      <x:c r="L36" s="113"/>
      <x:c r="M36" s="113"/>
      <x:c r="N36" s="113"/>
      <x:c r="O36" s="113"/>
    </x:row>
    <x:row r="37">
      <x:c r="A37" s="113"/>
      <x:c r="B37" s="113"/>
      <x:c r="C37" s="113"/>
      <x:c r="D37" s="113"/>
      <x:c r="E37" s="113"/>
      <x:c r="F37" s="113"/>
      <x:c r="G37" s="113"/>
      <x:c r="H37" s="113"/>
      <x:c r="I37" s="113"/>
      <x:c r="J37" s="113"/>
      <x:c r="K37" s="113"/>
      <x:c r="L37" s="113"/>
      <x:c r="M37" s="113"/>
      <x:c r="N37" s="113"/>
      <x:c r="O37" s="113"/>
    </x:row>
    <x:row r="38">
      <x:c r="A38" s="113"/>
      <x:c r="B38" s="113"/>
      <x:c r="C38" s="113"/>
      <x:c r="D38" s="113"/>
      <x:c r="E38" s="113"/>
      <x:c r="F38" s="113"/>
      <x:c r="G38" s="113"/>
      <x:c r="H38" s="113"/>
      <x:c r="I38" s="113"/>
      <x:c r="J38" s="113"/>
      <x:c r="K38" s="113"/>
      <x:c r="L38" s="113"/>
      <x:c r="M38" s="113"/>
      <x:c r="N38" s="113"/>
      <x:c r="O38" s="113"/>
    </x:row>
    <x:row r="39">
      <x:c r="A39" s="113"/>
      <x:c r="B39" s="113"/>
      <x:c r="C39" s="113"/>
      <x:c r="D39" s="113"/>
      <x:c r="E39" s="113"/>
      <x:c r="F39" s="113"/>
      <x:c r="G39" s="113"/>
      <x:c r="H39" s="113"/>
      <x:c r="I39" s="113"/>
      <x:c r="J39" s="113"/>
      <x:c r="K39" s="113"/>
      <x:c r="L39" s="113"/>
      <x:c r="M39" s="113"/>
      <x:c r="N39" s="113"/>
      <x:c r="O39" s="113"/>
    </x:row>
    <x:row r="40">
      <x:c r="A40" s="113"/>
      <x:c r="B40" s="113"/>
      <x:c r="C40" s="113"/>
      <x:c r="D40" s="113"/>
      <x:c r="E40" s="113"/>
      <x:c r="F40" s="113"/>
      <x:c r="G40" s="113"/>
      <x:c r="H40" s="113"/>
      <x:c r="I40" s="113"/>
      <x:c r="J40" s="113"/>
      <x:c r="K40" s="113"/>
      <x:c r="L40" s="113"/>
      <x:c r="M40" s="113"/>
      <x:c r="N40" s="113"/>
      <x:c r="O40" s="113"/>
    </x:row>
    <x:row r="41">
      <x:c r="A41" s="113"/>
      <x:c r="B41" s="113"/>
      <x:c r="C41" s="113"/>
      <x:c r="D41" s="113"/>
      <x:c r="E41" s="113"/>
      <x:c r="F41" s="113"/>
      <x:c r="G41" s="113"/>
      <x:c r="H41" s="113"/>
      <x:c r="I41" s="113"/>
      <x:c r="J41" s="113"/>
      <x:c r="K41" s="113"/>
      <x:c r="L41" s="113"/>
      <x:c r="M41" s="113"/>
      <x:c r="N41" s="113"/>
      <x:c r="O41" s="113"/>
    </x:row>
    <x:row r="42">
      <x:c r="A42" s="113"/>
      <x:c r="B42" s="113"/>
      <x:c r="C42" s="113"/>
      <x:c r="D42" s="113"/>
      <x:c r="E42" s="113"/>
      <x:c r="F42" s="113"/>
      <x:c r="G42" s="113"/>
      <x:c r="H42" s="113"/>
      <x:c r="I42" s="113"/>
      <x:c r="J42" s="113"/>
      <x:c r="K42" s="113"/>
      <x:c r="L42" s="113"/>
      <x:c r="M42" s="113"/>
      <x:c r="N42" s="113"/>
      <x:c r="O42" s="113"/>
    </x:row>
    <x:row r="43">
      <x:c r="A43" s="113"/>
      <x:c r="B43" s="113"/>
      <x:c r="C43" s="113"/>
      <x:c r="D43" s="113"/>
      <x:c r="E43" s="113"/>
      <x:c r="F43" s="113"/>
      <x:c r="G43" s="113"/>
      <x:c r="H43" s="113"/>
      <x:c r="I43" s="113"/>
      <x:c r="J43" s="113"/>
      <x:c r="K43" s="113"/>
      <x:c r="L43" s="113"/>
      <x:c r="M43" s="113"/>
      <x:c r="N43" s="113"/>
      <x:c r="O43" s="113"/>
    </x:row>
    <x:row r="44">
      <x:c r="A44" s="113"/>
      <x:c r="B44" s="113"/>
      <x:c r="C44" s="113"/>
      <x:c r="D44" s="113"/>
      <x:c r="E44" s="113"/>
      <x:c r="F44" s="113"/>
      <x:c r="G44" s="113"/>
      <x:c r="H44" s="113"/>
      <x:c r="I44" s="113"/>
      <x:c r="J44" s="113"/>
      <x:c r="K44" s="113"/>
      <x:c r="L44" s="113"/>
      <x:c r="M44" s="113"/>
      <x:c r="N44" s="113"/>
      <x:c r="O44" s="113"/>
    </x:row>
    <x:row r="45">
      <x:c r="A45" s="113"/>
      <x:c r="B45" s="113"/>
      <x:c r="C45" s="113"/>
      <x:c r="D45" s="113"/>
      <x:c r="E45" s="113"/>
      <x:c r="F45" s="113"/>
      <x:c r="G45" s="113"/>
      <x:c r="H45" s="113"/>
      <x:c r="I45" s="113"/>
      <x:c r="J45" s="113"/>
      <x:c r="K45" s="113"/>
      <x:c r="L45" s="113"/>
      <x:c r="M45" s="113"/>
      <x:c r="N45" s="113"/>
      <x:c r="O45" s="113"/>
    </x:row>
    <x:row r="46">
      <x:c r="A46" s="113"/>
      <x:c r="B46" s="113"/>
      <x:c r="C46" s="113"/>
      <x:c r="D46" s="113"/>
      <x:c r="E46" s="113"/>
      <x:c r="F46" s="113"/>
      <x:c r="G46" s="113"/>
      <x:c r="H46" s="113"/>
      <x:c r="I46" s="113"/>
      <x:c r="J46" s="113"/>
      <x:c r="K46" s="113"/>
      <x:c r="L46" s="113"/>
      <x:c r="M46" s="113"/>
      <x:c r="N46" s="113"/>
      <x:c r="O46" s="113"/>
    </x:row>
    <x:row r="47">
      <x:c r="A47" s="113"/>
      <x:c r="B47" s="113"/>
      <x:c r="C47" s="113"/>
      <x:c r="D47" s="113"/>
      <x:c r="E47" s="113"/>
      <x:c r="F47" s="113"/>
      <x:c r="G47" s="113"/>
      <x:c r="H47" s="113"/>
      <x:c r="I47" s="113"/>
      <x:c r="J47" s="113"/>
      <x:c r="K47" s="113"/>
      <x:c r="L47" s="113"/>
      <x:c r="M47" s="113"/>
      <x:c r="N47" s="113"/>
      <x:c r="O47" s="113"/>
    </x:row>
    <x:row r="48">
      <x:c r="A48" s="113"/>
      <x:c r="B48" s="113"/>
      <x:c r="C48" s="113"/>
      <x:c r="D48" s="113"/>
      <x:c r="E48" s="113"/>
      <x:c r="F48" s="113"/>
      <x:c r="G48" s="113"/>
      <x:c r="H48" s="113"/>
      <x:c r="I48" s="113"/>
      <x:c r="J48" s="113"/>
      <x:c r="K48" s="113"/>
      <x:c r="L48" s="113"/>
      <x:c r="M48" s="113"/>
      <x:c r="N48" s="113"/>
      <x:c r="O48" s="113"/>
    </x:row>
    <x:row r="49">
      <x:c r="A49" s="113"/>
      <x:c r="B49" s="113"/>
      <x:c r="C49" s="113"/>
      <x:c r="D49" s="113"/>
      <x:c r="E49" s="113"/>
      <x:c r="F49" s="113"/>
      <x:c r="G49" s="113"/>
      <x:c r="H49" s="113"/>
      <x:c r="I49" s="113"/>
      <x:c r="J49" s="113"/>
      <x:c r="K49" s="113"/>
      <x:c r="L49" s="113"/>
      <x:c r="M49" s="113"/>
      <x:c r="N49" s="113"/>
      <x:c r="O49" s="113"/>
    </x:row>
    <x:row r="50">
      <x:c r="A50" s="113"/>
      <x:c r="B50" s="113"/>
      <x:c r="C50" s="113"/>
      <x:c r="D50" s="113"/>
      <x:c r="E50" s="113"/>
      <x:c r="F50" s="113"/>
      <x:c r="G50" s="113"/>
      <x:c r="H50" s="113"/>
      <x:c r="I50" s="113"/>
      <x:c r="J50" s="113"/>
      <x:c r="K50" s="113"/>
      <x:c r="L50" s="113"/>
      <x:c r="M50" s="113"/>
      <x:c r="N50" s="113"/>
      <x:c r="O50" s="113"/>
    </x:row>
    <x:row r="51">
      <x:c r="A51" s="113"/>
      <x:c r="B51" s="113"/>
      <x:c r="C51" s="113"/>
      <x:c r="D51" s="113"/>
      <x:c r="E51" s="113"/>
      <x:c r="F51" s="113"/>
      <x:c r="G51" s="113"/>
      <x:c r="H51" s="113"/>
      <x:c r="I51" s="113"/>
      <x:c r="J51" s="113"/>
      <x:c r="K51" s="113"/>
      <x:c r="L51" s="113"/>
      <x:c r="M51" s="113"/>
      <x:c r="N51" s="113"/>
      <x:c r="O51" s="113"/>
    </x:row>
    <x:row r="52">
      <x:c r="A52" s="113"/>
      <x:c r="B52" s="113"/>
      <x:c r="C52" s="113"/>
      <x:c r="D52" s="113"/>
      <x:c r="E52" s="113"/>
      <x:c r="F52" s="113"/>
      <x:c r="G52" s="113"/>
      <x:c r="H52" s="113"/>
      <x:c r="I52" s="113"/>
      <x:c r="J52" s="113"/>
      <x:c r="K52" s="113"/>
      <x:c r="L52" s="113"/>
      <x:c r="M52" s="113"/>
      <x:c r="N52" s="113"/>
      <x:c r="O52" s="113"/>
    </x:row>
    <x:row r="53">
      <x:c r="A53" s="113"/>
      <x:c r="B53" s="113"/>
      <x:c r="C53" s="113"/>
      <x:c r="D53" s="113"/>
      <x:c r="E53" s="113"/>
      <x:c r="F53" s="113"/>
      <x:c r="G53" s="113"/>
      <x:c r="H53" s="113"/>
      <x:c r="I53" s="113"/>
      <x:c r="J53" s="113"/>
      <x:c r="K53" s="113"/>
      <x:c r="L53" s="113"/>
      <x:c r="M53" s="113"/>
      <x:c r="N53" s="113"/>
      <x:c r="O53" s="113"/>
    </x:row>
    <x:row r="54">
      <x:c r="A54" s="113"/>
      <x:c r="B54" s="113"/>
      <x:c r="C54" s="113"/>
      <x:c r="D54" s="113"/>
      <x:c r="E54" s="113"/>
      <x:c r="F54" s="113"/>
      <x:c r="G54" s="113"/>
      <x:c r="H54" s="113"/>
      <x:c r="I54" s="113"/>
      <x:c r="J54" s="113"/>
      <x:c r="K54" s="113"/>
      <x:c r="L54" s="113"/>
      <x:c r="M54" s="113"/>
      <x:c r="N54" s="113"/>
      <x:c r="O54" s="113"/>
    </x:row>
    <x:row r="55">
      <x:c r="A55" s="113"/>
      <x:c r="B55" s="113"/>
      <x:c r="C55" s="113"/>
      <x:c r="D55" s="113"/>
      <x:c r="E55" s="113"/>
      <x:c r="F55" s="113"/>
      <x:c r="G55" s="113"/>
      <x:c r="H55" s="113"/>
      <x:c r="I55" s="113"/>
      <x:c r="J55" s="113"/>
      <x:c r="K55" s="113"/>
      <x:c r="L55" s="113"/>
      <x:c r="M55" s="113"/>
      <x:c r="N55" s="113"/>
      <x:c r="O55" s="113"/>
    </x:row>
    <x:row r="56">
      <x:c r="A56" s="113"/>
      <x:c r="B56" s="113"/>
      <x:c r="C56" s="113"/>
      <x:c r="D56" s="113"/>
      <x:c r="E56" s="113"/>
      <x:c r="F56" s="113"/>
      <x:c r="G56" s="113"/>
      <x:c r="H56" s="113"/>
      <x:c r="I56" s="113"/>
      <x:c r="J56" s="113"/>
      <x:c r="K56" s="113"/>
      <x:c r="L56" s="113"/>
      <x:c r="M56" s="113"/>
      <x:c r="N56" s="113"/>
      <x:c r="O56" s="113"/>
    </x:row>
    <x:row r="57">
      <x:c r="A57" s="113"/>
      <x:c r="B57" s="113"/>
      <x:c r="C57" s="113"/>
      <x:c r="D57" s="113"/>
      <x:c r="E57" s="113"/>
      <x:c r="F57" s="113"/>
      <x:c r="G57" s="113"/>
      <x:c r="H57" s="113"/>
      <x:c r="I57" s="113"/>
      <x:c r="J57" s="113"/>
      <x:c r="K57" s="113"/>
      <x:c r="L57" s="113"/>
      <x:c r="M57" s="113"/>
      <x:c r="N57" s="113"/>
      <x:c r="O57" s="113"/>
    </x:row>
    <x:row r="58">
      <x:c r="A58" s="113"/>
      <x:c r="B58" s="113"/>
      <x:c r="C58" s="113"/>
      <x:c r="D58" s="113"/>
      <x:c r="E58" s="113"/>
      <x:c r="F58" s="113"/>
      <x:c r="G58" s="113"/>
      <x:c r="H58" s="113"/>
      <x:c r="I58" s="113"/>
      <x:c r="J58" s="113"/>
      <x:c r="K58" s="113"/>
      <x:c r="L58" s="113"/>
      <x:c r="M58" s="113"/>
      <x:c r="N58" s="113"/>
      <x:c r="O58" s="113"/>
    </x:row>
    <x:row r="59">
      <x:c r="A59" s="113"/>
      <x:c r="B59" s="113"/>
      <x:c r="C59" s="113"/>
      <x:c r="D59" s="113"/>
      <x:c r="E59" s="113"/>
      <x:c r="F59" s="113"/>
      <x:c r="G59" s="113"/>
      <x:c r="H59" s="113"/>
      <x:c r="I59" s="113"/>
      <x:c r="J59" s="113"/>
      <x:c r="K59" s="113"/>
      <x:c r="L59" s="113"/>
      <x:c r="M59" s="113"/>
      <x:c r="N59" s="113"/>
      <x:c r="O59" s="113"/>
    </x:row>
    <x:row r="60">
      <x:c r="A60" s="113"/>
      <x:c r="B60" s="113"/>
      <x:c r="C60" s="113"/>
      <x:c r="D60" s="113"/>
      <x:c r="E60" s="113"/>
      <x:c r="F60" s="113"/>
      <x:c r="G60" s="113"/>
      <x:c r="H60" s="113"/>
      <x:c r="I60" s="113"/>
      <x:c r="J60" s="113"/>
      <x:c r="K60" s="113"/>
      <x:c r="L60" s="113"/>
      <x:c r="M60" s="113"/>
      <x:c r="N60" s="113"/>
      <x:c r="O60" s="113"/>
    </x:row>
    <x:row r="61">
      <x:c r="A61" s="113"/>
      <x:c r="B61" s="113"/>
      <x:c r="C61" s="113"/>
      <x:c r="D61" s="113"/>
      <x:c r="E61" s="113"/>
      <x:c r="F61" s="113"/>
      <x:c r="G61" s="113"/>
      <x:c r="H61" s="113"/>
      <x:c r="I61" s="113"/>
      <x:c r="J61" s="113"/>
      <x:c r="K61" s="113"/>
      <x:c r="L61" s="113"/>
      <x:c r="M61" s="113"/>
      <x:c r="N61" s="113"/>
      <x:c r="O61" s="113"/>
    </x:row>
    <x:row r="62">
      <x:c r="A62" s="113"/>
      <x:c r="B62" s="113"/>
      <x:c r="C62" s="113"/>
      <x:c r="D62" s="113"/>
      <x:c r="E62" s="113"/>
      <x:c r="F62" s="113"/>
      <x:c r="G62" s="113"/>
      <x:c r="H62" s="113"/>
      <x:c r="I62" s="113"/>
      <x:c r="J62" s="113"/>
      <x:c r="K62" s="113"/>
      <x:c r="L62" s="113"/>
      <x:c r="M62" s="113"/>
      <x:c r="N62" s="113"/>
      <x:c r="O62" s="113"/>
    </x:row>
    <x:row r="63">
      <x:c r="A63" s="113"/>
      <x:c r="B63" s="113"/>
      <x:c r="C63" s="113"/>
      <x:c r="D63" s="113"/>
      <x:c r="E63" s="113"/>
      <x:c r="F63" s="113"/>
      <x:c r="G63" s="113"/>
      <x:c r="H63" s="113"/>
      <x:c r="I63" s="113"/>
      <x:c r="J63" s="113"/>
      <x:c r="K63" s="113"/>
      <x:c r="L63" s="113"/>
      <x:c r="M63" s="113"/>
      <x:c r="N63" s="113"/>
      <x:c r="O63" s="113"/>
    </x:row>
    <x:row r="64">
      <x:c r="A64" s="113"/>
      <x:c r="B64" s="113"/>
      <x:c r="C64" s="113"/>
      <x:c r="D64" s="113"/>
      <x:c r="E64" s="113"/>
      <x:c r="F64" s="113"/>
      <x:c r="G64" s="113"/>
      <x:c r="H64" s="113"/>
      <x:c r="I64" s="113"/>
      <x:c r="J64" s="113"/>
      <x:c r="K64" s="113"/>
      <x:c r="L64" s="113"/>
      <x:c r="M64" s="113"/>
      <x:c r="N64" s="113"/>
      <x:c r="O64" s="113"/>
    </x:row>
    <x:row r="65">
      <x:c r="A65" s="113"/>
      <x:c r="B65" s="113"/>
      <x:c r="C65" s="113"/>
      <x:c r="D65" s="113"/>
      <x:c r="E65" s="113"/>
      <x:c r="F65" s="113"/>
      <x:c r="G65" s="113"/>
      <x:c r="H65" s="113"/>
      <x:c r="I65" s="113"/>
      <x:c r="J65" s="113"/>
      <x:c r="K65" s="113"/>
      <x:c r="L65" s="113"/>
      <x:c r="M65" s="113"/>
      <x:c r="N65" s="113"/>
      <x:c r="O65" s="113"/>
    </x:row>
    <x:row r="66">
      <x:c r="A66" s="113"/>
      <x:c r="B66" s="113"/>
      <x:c r="C66" s="113"/>
      <x:c r="D66" s="113"/>
      <x:c r="E66" s="113"/>
      <x:c r="F66" s="113"/>
      <x:c r="G66" s="113"/>
      <x:c r="H66" s="113"/>
      <x:c r="I66" s="113"/>
      <x:c r="J66" s="113"/>
      <x:c r="K66" s="113"/>
      <x:c r="L66" s="113"/>
      <x:c r="M66" s="113"/>
      <x:c r="N66" s="113"/>
      <x:c r="O66" s="113"/>
    </x:row>
    <x:row r="67">
      <x:c r="A67" s="113"/>
      <x:c r="B67" s="113"/>
      <x:c r="C67" s="113"/>
      <x:c r="D67" s="113"/>
      <x:c r="E67" s="113"/>
      <x:c r="F67" s="113"/>
      <x:c r="G67" s="113"/>
      <x:c r="H67" s="113"/>
      <x:c r="I67" s="113"/>
      <x:c r="J67" s="113"/>
      <x:c r="K67" s="113"/>
      <x:c r="L67" s="113"/>
      <x:c r="M67" s="113"/>
      <x:c r="N67" s="113"/>
      <x:c r="O67" s="113"/>
    </x:row>
    <x:row r="68">
      <x:c r="A68" s="113"/>
      <x:c r="B68" s="113"/>
      <x:c r="C68" s="113"/>
      <x:c r="D68" s="113"/>
      <x:c r="E68" s="113"/>
      <x:c r="F68" s="113"/>
      <x:c r="G68" s="113"/>
      <x:c r="H68" s="113"/>
      <x:c r="I68" s="113"/>
      <x:c r="J68" s="113"/>
      <x:c r="K68" s="113"/>
      <x:c r="L68" s="113"/>
      <x:c r="M68" s="113"/>
      <x:c r="N68" s="113"/>
      <x:c r="O68" s="113"/>
    </x:row>
    <x:row r="69">
      <x:c r="A69" s="113"/>
      <x:c r="B69" s="113"/>
      <x:c r="C69" s="113"/>
      <x:c r="D69" s="113"/>
      <x:c r="E69" s="113"/>
      <x:c r="F69" s="113"/>
      <x:c r="G69" s="113"/>
      <x:c r="H69" s="113"/>
      <x:c r="I69" s="113"/>
      <x:c r="J69" s="113"/>
      <x:c r="K69" s="113"/>
      <x:c r="L69" s="113"/>
      <x:c r="M69" s="113"/>
      <x:c r="N69" s="113"/>
      <x:c r="O69" s="113"/>
    </x:row>
    <x:row r="70">
      <x:c r="A70" s="113"/>
      <x:c r="B70" s="113"/>
      <x:c r="C70" s="113"/>
      <x:c r="D70" s="113"/>
      <x:c r="E70" s="113"/>
      <x:c r="F70" s="113"/>
      <x:c r="G70" s="113"/>
      <x:c r="H70" s="113"/>
      <x:c r="I70" s="113"/>
      <x:c r="J70" s="113"/>
      <x:c r="K70" s="113"/>
      <x:c r="L70" s="113"/>
      <x:c r="M70" s="113"/>
      <x:c r="N70" s="113"/>
      <x:c r="O70" s="113"/>
    </x:row>
    <x:row r="71">
      <x:c r="A71" s="113"/>
      <x:c r="B71" s="113"/>
      <x:c r="C71" s="113"/>
      <x:c r="D71" s="113"/>
      <x:c r="E71" s="113"/>
      <x:c r="F71" s="113"/>
      <x:c r="G71" s="113"/>
      <x:c r="H71" s="113"/>
      <x:c r="I71" s="113"/>
      <x:c r="J71" s="113"/>
      <x:c r="K71" s="113"/>
      <x:c r="L71" s="113"/>
      <x:c r="M71" s="113"/>
      <x:c r="N71" s="113"/>
      <x:c r="O71" s="113"/>
    </x:row>
    <x:row r="72">
      <x:c r="A72" s="113"/>
      <x:c r="B72" s="113"/>
      <x:c r="C72" s="113"/>
      <x:c r="D72" s="113"/>
      <x:c r="E72" s="113"/>
      <x:c r="F72" s="113"/>
      <x:c r="G72" s="113"/>
      <x:c r="H72" s="113"/>
      <x:c r="I72" s="113"/>
      <x:c r="J72" s="113"/>
      <x:c r="K72" s="113"/>
      <x:c r="L72" s="113"/>
      <x:c r="M72" s="113"/>
      <x:c r="N72" s="113"/>
      <x:c r="O72" s="113"/>
    </x:row>
    <x:row r="73">
      <x:c r="A73" s="113"/>
      <x:c r="B73" s="113"/>
      <x:c r="C73" s="113"/>
      <x:c r="D73" s="113"/>
      <x:c r="E73" s="113"/>
      <x:c r="F73" s="113"/>
      <x:c r="G73" s="113"/>
      <x:c r="H73" s="113"/>
      <x:c r="I73" s="113"/>
      <x:c r="J73" s="113"/>
      <x:c r="K73" s="113"/>
      <x:c r="L73" s="113"/>
      <x:c r="M73" s="113"/>
      <x:c r="N73" s="113"/>
      <x:c r="O73" s="113"/>
    </x:row>
    <x:row r="74">
      <x:c r="A74" s="113"/>
      <x:c r="B74" s="113"/>
      <x:c r="C74" s="113"/>
      <x:c r="D74" s="113"/>
      <x:c r="E74" s="113"/>
      <x:c r="F74" s="113"/>
      <x:c r="G74" s="113"/>
      <x:c r="H74" s="113"/>
      <x:c r="I74" s="113"/>
      <x:c r="J74" s="113"/>
      <x:c r="K74" s="113"/>
      <x:c r="L74" s="113"/>
      <x:c r="M74" s="113"/>
      <x:c r="N74" s="113"/>
      <x:c r="O74" s="113"/>
    </x:row>
    <x:row r="75">
      <x:c r="A75" s="113"/>
      <x:c r="B75" s="113"/>
      <x:c r="C75" s="113"/>
      <x:c r="D75" s="113"/>
      <x:c r="E75" s="113"/>
      <x:c r="F75" s="113"/>
      <x:c r="G75" s="113"/>
      <x:c r="H75" s="113"/>
      <x:c r="I75" s="113"/>
      <x:c r="J75" s="113"/>
      <x:c r="K75" s="113"/>
      <x:c r="L75" s="113"/>
      <x:c r="M75" s="113"/>
      <x:c r="N75" s="113"/>
      <x:c r="O75" s="113"/>
    </x:row>
    <x:row r="76">
      <x:c r="A76" s="113"/>
      <x:c r="B76" s="113"/>
      <x:c r="C76" s="113"/>
      <x:c r="D76" s="113"/>
      <x:c r="E76" s="113"/>
      <x:c r="F76" s="113"/>
      <x:c r="G76" s="113"/>
      <x:c r="H76" s="113"/>
      <x:c r="I76" s="113"/>
      <x:c r="J76" s="113"/>
      <x:c r="K76" s="113"/>
      <x:c r="L76" s="113"/>
      <x:c r="M76" s="113"/>
      <x:c r="N76" s="113"/>
      <x:c r="O76" s="113"/>
    </x:row>
    <x:row r="77">
      <x:c r="A77" s="113"/>
      <x:c r="B77" s="113"/>
      <x:c r="C77" s="113"/>
      <x:c r="D77" s="113"/>
      <x:c r="E77" s="113"/>
      <x:c r="F77" s="113"/>
      <x:c r="G77" s="113"/>
      <x:c r="H77" s="113"/>
      <x:c r="I77" s="113"/>
      <x:c r="J77" s="113"/>
      <x:c r="K77" s="113"/>
      <x:c r="L77" s="113"/>
      <x:c r="M77" s="113"/>
      <x:c r="N77" s="113"/>
      <x:c r="O77" s="113"/>
    </x:row>
    <x:row r="78">
      <x:c r="A78" s="113"/>
      <x:c r="B78" s="113"/>
      <x:c r="C78" s="113"/>
      <x:c r="D78" s="113"/>
      <x:c r="E78" s="113"/>
      <x:c r="F78" s="113"/>
      <x:c r="G78" s="113"/>
      <x:c r="H78" s="113"/>
      <x:c r="I78" s="113"/>
      <x:c r="J78" s="113"/>
      <x:c r="K78" s="113"/>
      <x:c r="L78" s="113"/>
      <x:c r="M78" s="113"/>
      <x:c r="N78" s="113"/>
      <x:c r="O78" s="113"/>
    </x:row>
    <x:row r="79">
      <x:c r="A79" s="113"/>
      <x:c r="B79" s="113"/>
      <x:c r="C79" s="113"/>
      <x:c r="D79" s="113"/>
      <x:c r="E79" s="113"/>
      <x:c r="F79" s="113"/>
      <x:c r="G79" s="113"/>
      <x:c r="H79" s="113"/>
      <x:c r="I79" s="113"/>
      <x:c r="J79" s="113"/>
      <x:c r="K79" s="113"/>
      <x:c r="L79" s="113"/>
      <x:c r="M79" s="113"/>
      <x:c r="N79" s="113"/>
      <x:c r="O79" s="113"/>
    </x:row>
    <x:row r="80">
      <x:c r="A80" s="113"/>
      <x:c r="B80" s="113"/>
      <x:c r="C80" s="113"/>
      <x:c r="D80" s="113"/>
      <x:c r="E80" s="113"/>
      <x:c r="F80" s="113"/>
      <x:c r="G80" s="113"/>
      <x:c r="H80" s="113"/>
      <x:c r="I80" s="113"/>
      <x:c r="J80" s="113"/>
      <x:c r="K80" s="113"/>
      <x:c r="L80" s="113"/>
      <x:c r="M80" s="113"/>
      <x:c r="N80" s="113"/>
      <x:c r="O80" s="113"/>
    </x:row>
    <x:row r="81">
      <x:c r="A81" s="113"/>
      <x:c r="B81" s="113"/>
      <x:c r="C81" s="113"/>
      <x:c r="D81" s="113"/>
      <x:c r="E81" s="113"/>
      <x:c r="F81" s="113"/>
      <x:c r="G81" s="113"/>
      <x:c r="H81" s="113"/>
      <x:c r="I81" s="113"/>
      <x:c r="J81" s="113"/>
      <x:c r="K81" s="113"/>
      <x:c r="L81" s="113"/>
      <x:c r="M81" s="113"/>
      <x:c r="N81" s="113"/>
      <x:c r="O81" s="113"/>
    </x:row>
    <x:row r="82">
      <x:c r="A82" s="113"/>
      <x:c r="B82" s="113"/>
      <x:c r="C82" s="113"/>
      <x:c r="D82" s="113"/>
      <x:c r="E82" s="113"/>
      <x:c r="F82" s="113"/>
      <x:c r="G82" s="113"/>
      <x:c r="H82" s="113"/>
      <x:c r="I82" s="113"/>
      <x:c r="J82" s="113"/>
      <x:c r="K82" s="113"/>
      <x:c r="L82" s="113"/>
      <x:c r="M82" s="113"/>
      <x:c r="N82" s="113"/>
      <x:c r="O82" s="113"/>
    </x:row>
    <x:row r="83">
      <x:c r="A83" s="113"/>
      <x:c r="B83" s="113"/>
      <x:c r="C83" s="113"/>
      <x:c r="D83" s="113"/>
      <x:c r="E83" s="113"/>
      <x:c r="F83" s="113"/>
      <x:c r="G83" s="113"/>
      <x:c r="H83" s="113"/>
      <x:c r="I83" s="113"/>
      <x:c r="J83" s="113"/>
      <x:c r="K83" s="113"/>
      <x:c r="L83" s="113"/>
      <x:c r="M83" s="113"/>
      <x:c r="N83" s="113"/>
      <x:c r="O83" s="113"/>
    </x:row>
    <x:row r="84">
      <x:c r="A84" s="113"/>
      <x:c r="B84" s="113"/>
      <x:c r="C84" s="113"/>
      <x:c r="D84" s="113"/>
      <x:c r="E84" s="113"/>
      <x:c r="F84" s="113"/>
      <x:c r="G84" s="113"/>
      <x:c r="H84" s="113"/>
      <x:c r="I84" s="113"/>
      <x:c r="J84" s="113"/>
      <x:c r="K84" s="113"/>
      <x:c r="L84" s="113"/>
      <x:c r="M84" s="113"/>
      <x:c r="N84" s="113"/>
      <x:c r="O84" s="113"/>
    </x:row>
    <x:row r="85">
      <x:c r="A85" s="113"/>
      <x:c r="B85" s="113"/>
      <x:c r="C85" s="113"/>
      <x:c r="D85" s="113"/>
      <x:c r="E85" s="113"/>
      <x:c r="F85" s="113"/>
      <x:c r="G85" s="113"/>
      <x:c r="H85" s="113"/>
      <x:c r="I85" s="113"/>
      <x:c r="J85" s="113"/>
      <x:c r="K85" s="113"/>
      <x:c r="L85" s="113"/>
      <x:c r="M85" s="113"/>
      <x:c r="N85" s="113"/>
      <x:c r="O85" s="113"/>
    </x:row>
    <x:row r="86">
      <x:c r="A86" s="113"/>
      <x:c r="B86" s="113"/>
      <x:c r="C86" s="113"/>
      <x:c r="D86" s="113"/>
      <x:c r="E86" s="113"/>
      <x:c r="F86" s="113"/>
      <x:c r="G86" s="113"/>
      <x:c r="H86" s="113"/>
      <x:c r="I86" s="113"/>
      <x:c r="J86" s="113"/>
      <x:c r="K86" s="113"/>
      <x:c r="L86" s="113"/>
      <x:c r="M86" s="113"/>
      <x:c r="N86" s="113"/>
      <x:c r="O86" s="113"/>
    </x:row>
    <x:row r="87">
      <x:c r="A87" s="113"/>
      <x:c r="B87" s="113"/>
      <x:c r="C87" s="113"/>
      <x:c r="D87" s="113"/>
      <x:c r="E87" s="113"/>
      <x:c r="F87" s="113"/>
      <x:c r="G87" s="113"/>
      <x:c r="H87" s="113"/>
      <x:c r="I87" s="113"/>
      <x:c r="J87" s="113"/>
      <x:c r="K87" s="113"/>
      <x:c r="L87" s="113"/>
      <x:c r="M87" s="113"/>
      <x:c r="N87" s="113"/>
      <x:c r="O87" s="113"/>
    </x:row>
    <x:row r="88">
      <x:c r="A88" s="113"/>
      <x:c r="B88" s="113"/>
      <x:c r="C88" s="113"/>
      <x:c r="D88" s="113"/>
      <x:c r="E88" s="113"/>
      <x:c r="F88" s="113"/>
      <x:c r="G88" s="113"/>
      <x:c r="H88" s="113"/>
      <x:c r="I88" s="113"/>
      <x:c r="J88" s="113"/>
      <x:c r="K88" s="113"/>
      <x:c r="L88" s="113"/>
      <x:c r="M88" s="113"/>
      <x:c r="N88" s="113"/>
      <x:c r="O88" s="113"/>
    </x:row>
    <x:row r="89">
      <x:c r="A89" s="113"/>
      <x:c r="B89" s="113"/>
      <x:c r="C89" s="113"/>
      <x:c r="D89" s="113"/>
      <x:c r="E89" s="113"/>
      <x:c r="F89" s="113"/>
      <x:c r="G89" s="113"/>
      <x:c r="H89" s="113"/>
      <x:c r="I89" s="113"/>
      <x:c r="J89" s="113"/>
      <x:c r="K89" s="113"/>
      <x:c r="L89" s="113"/>
      <x:c r="M89" s="113"/>
      <x:c r="N89" s="113"/>
      <x:c r="O89" s="113"/>
    </x:row>
    <x:row r="90">
      <x:c r="A90" s="113"/>
      <x:c r="B90" s="113"/>
      <x:c r="C90" s="113"/>
      <x:c r="D90" s="113"/>
      <x:c r="E90" s="113"/>
      <x:c r="F90" s="113"/>
      <x:c r="G90" s="113"/>
      <x:c r="H90" s="113"/>
      <x:c r="I90" s="113"/>
      <x:c r="J90" s="113"/>
      <x:c r="K90" s="113"/>
      <x:c r="L90" s="113"/>
      <x:c r="M90" s="113"/>
      <x:c r="N90" s="113"/>
      <x:c r="O90" s="113"/>
    </x:row>
    <x:row r="91">
      <x:c r="A91" s="113"/>
      <x:c r="B91" s="113"/>
      <x:c r="C91" s="113"/>
      <x:c r="D91" s="113"/>
      <x:c r="E91" s="113"/>
      <x:c r="F91" s="113"/>
      <x:c r="G91" s="113"/>
      <x:c r="H91" s="113"/>
      <x:c r="I91" s="113"/>
      <x:c r="J91" s="113"/>
      <x:c r="K91" s="113"/>
      <x:c r="L91" s="113"/>
      <x:c r="M91" s="113"/>
      <x:c r="N91" s="113"/>
      <x:c r="O91" s="113"/>
    </x:row>
    <x:row r="92">
      <x:c r="A92" s="113"/>
      <x:c r="B92" s="113"/>
      <x:c r="C92" s="113"/>
      <x:c r="D92" s="113"/>
      <x:c r="E92" s="113"/>
      <x:c r="F92" s="113"/>
      <x:c r="G92" s="113"/>
      <x:c r="H92" s="113"/>
      <x:c r="I92" s="113"/>
      <x:c r="J92" s="113"/>
      <x:c r="K92" s="113"/>
      <x:c r="L92" s="113"/>
      <x:c r="M92" s="113"/>
      <x:c r="N92" s="113"/>
      <x:c r="O92" s="113"/>
    </x:row>
    <x:row r="93">
      <x:c r="A93" s="113"/>
      <x:c r="B93" s="113"/>
      <x:c r="C93" s="113"/>
      <x:c r="D93" s="113"/>
      <x:c r="E93" s="113"/>
      <x:c r="F93" s="113"/>
      <x:c r="G93" s="113"/>
      <x:c r="H93" s="113"/>
      <x:c r="I93" s="113"/>
      <x:c r="J93" s="113"/>
      <x:c r="K93" s="113"/>
      <x:c r="L93" s="113"/>
      <x:c r="M93" s="113"/>
      <x:c r="N93" s="113"/>
      <x:c r="O93" s="113"/>
    </x:row>
    <x:row r="94">
      <x:c r="A94" s="113"/>
      <x:c r="B94" s="113"/>
      <x:c r="C94" s="113"/>
      <x:c r="D94" s="113"/>
      <x:c r="E94" s="113"/>
      <x:c r="F94" s="113"/>
      <x:c r="G94" s="113"/>
      <x:c r="H94" s="113"/>
      <x:c r="I94" s="113"/>
      <x:c r="J94" s="113"/>
      <x:c r="K94" s="113"/>
      <x:c r="L94" s="113"/>
      <x:c r="M94" s="113"/>
      <x:c r="N94" s="113"/>
      <x:c r="O94" s="113"/>
    </x:row>
    <x:row r="95">
      <x:c r="A95" s="113"/>
      <x:c r="B95" s="113"/>
      <x:c r="C95" s="113"/>
      <x:c r="D95" s="113"/>
      <x:c r="E95" s="113"/>
      <x:c r="F95" s="113"/>
      <x:c r="G95" s="113"/>
      <x:c r="H95" s="113"/>
      <x:c r="I95" s="113"/>
      <x:c r="J95" s="113"/>
      <x:c r="K95" s="113"/>
      <x:c r="L95" s="113"/>
      <x:c r="M95" s="113"/>
      <x:c r="N95" s="113"/>
      <x:c r="O95" s="113"/>
    </x:row>
    <x:row r="96">
      <x:c r="A96" s="113"/>
      <x:c r="B96" s="113"/>
      <x:c r="C96" s="113"/>
      <x:c r="D96" s="113"/>
      <x:c r="E96" s="113"/>
      <x:c r="F96" s="113"/>
      <x:c r="G96" s="113"/>
      <x:c r="H96" s="113"/>
      <x:c r="I96" s="113"/>
      <x:c r="J96" s="113"/>
      <x:c r="K96" s="113"/>
      <x:c r="L96" s="113"/>
      <x:c r="M96" s="113"/>
      <x:c r="N96" s="113"/>
      <x:c r="O96" s="113"/>
    </x:row>
    <x:row r="97">
      <x:c r="A97" s="113"/>
      <x:c r="B97" s="113"/>
      <x:c r="C97" s="113"/>
      <x:c r="D97" s="113"/>
      <x:c r="E97" s="113"/>
      <x:c r="F97" s="113"/>
      <x:c r="G97" s="113"/>
      <x:c r="H97" s="113"/>
      <x:c r="I97" s="113"/>
      <x:c r="J97" s="113"/>
      <x:c r="K97" s="113"/>
      <x:c r="L97" s="113"/>
      <x:c r="M97" s="113"/>
      <x:c r="N97" s="113"/>
      <x:c r="O97" s="113"/>
    </x:row>
    <x:row r="98">
      <x:c r="A98" s="113"/>
      <x:c r="B98" s="113"/>
      <x:c r="C98" s="113"/>
      <x:c r="D98" s="113"/>
      <x:c r="E98" s="113"/>
      <x:c r="F98" s="113"/>
      <x:c r="G98" s="113"/>
      <x:c r="H98" s="113"/>
      <x:c r="I98" s="113"/>
      <x:c r="J98" s="113"/>
      <x:c r="K98" s="113"/>
      <x:c r="L98" s="113"/>
      <x:c r="M98" s="113"/>
      <x:c r="N98" s="113"/>
      <x:c r="O98" s="113"/>
    </x:row>
    <x:row r="99">
      <x:c r="A99" s="113"/>
      <x:c r="B99" s="113"/>
      <x:c r="C99" s="113"/>
      <x:c r="D99" s="113"/>
      <x:c r="E99" s="113"/>
      <x:c r="F99" s="113"/>
      <x:c r="G99" s="113"/>
      <x:c r="H99" s="113"/>
      <x:c r="I99" s="113"/>
      <x:c r="J99" s="113"/>
      <x:c r="K99" s="113"/>
      <x:c r="L99" s="113"/>
      <x:c r="M99" s="113"/>
      <x:c r="N99" s="113"/>
      <x:c r="O99" s="113"/>
    </x:row>
    <x:row r="100">
      <x:c r="A100" s="113"/>
      <x:c r="B100" s="113"/>
      <x:c r="C100" s="113"/>
      <x:c r="D100" s="113"/>
      <x:c r="E100" s="113"/>
      <x:c r="F100" s="113"/>
      <x:c r="G100" s="113"/>
      <x:c r="H100" s="113"/>
      <x:c r="I100" s="113"/>
      <x:c r="J100" s="113"/>
      <x:c r="K100" s="113"/>
      <x:c r="L100" s="113"/>
      <x:c r="M100" s="113"/>
      <x:c r="N100" s="113"/>
      <x:c r="O100" s="113"/>
    </x:row>
    <x:row r="101">
      <x:c r="A101" s="113"/>
      <x:c r="B101" s="113"/>
      <x:c r="C101" s="113"/>
      <x:c r="D101" s="113"/>
      <x:c r="E101" s="113"/>
      <x:c r="F101" s="113"/>
      <x:c r="G101" s="113"/>
      <x:c r="H101" s="113"/>
      <x:c r="I101" s="113"/>
      <x:c r="J101" s="113"/>
      <x:c r="K101" s="113"/>
      <x:c r="L101" s="113"/>
      <x:c r="M101" s="113"/>
      <x:c r="N101" s="113"/>
      <x:c r="O101" s="113"/>
    </x:row>
    <x:row r="102">
      <x:c r="A102" s="113"/>
      <x:c r="B102" s="113"/>
      <x:c r="C102" s="113"/>
      <x:c r="D102" s="113"/>
      <x:c r="E102" s="113"/>
      <x:c r="F102" s="113"/>
      <x:c r="G102" s="113"/>
      <x:c r="H102" s="113"/>
      <x:c r="I102" s="113"/>
      <x:c r="J102" s="113"/>
      <x:c r="K102" s="113"/>
      <x:c r="L102" s="113"/>
      <x:c r="M102" s="113"/>
      <x:c r="N102" s="113"/>
      <x:c r="O102" s="113"/>
    </x:row>
    <x:row r="103">
      <x:c r="A103" s="113"/>
      <x:c r="B103" s="113"/>
      <x:c r="C103" s="113"/>
      <x:c r="D103" s="113"/>
      <x:c r="E103" s="113"/>
      <x:c r="F103" s="113"/>
      <x:c r="G103" s="113"/>
      <x:c r="H103" s="113"/>
      <x:c r="I103" s="113"/>
      <x:c r="J103" s="113"/>
      <x:c r="K103" s="113"/>
      <x:c r="L103" s="113"/>
      <x:c r="M103" s="113"/>
      <x:c r="N103" s="113"/>
      <x:c r="O103" s="113"/>
    </x:row>
    <x:row r="104">
      <x:c r="A104" s="113"/>
      <x:c r="B104" s="113"/>
      <x:c r="C104" s="113"/>
      <x:c r="D104" s="113"/>
      <x:c r="E104" s="113"/>
      <x:c r="F104" s="113"/>
      <x:c r="G104" s="113"/>
      <x:c r="H104" s="113"/>
      <x:c r="I104" s="113"/>
      <x:c r="J104" s="113"/>
      <x:c r="K104" s="113"/>
      <x:c r="L104" s="113"/>
      <x:c r="M104" s="113"/>
      <x:c r="N104" s="113"/>
      <x:c r="O104" s="113"/>
    </x:row>
    <x:row r="105">
      <x:c r="A105" s="113"/>
      <x:c r="B105" s="113"/>
      <x:c r="C105" s="113"/>
      <x:c r="D105" s="113"/>
      <x:c r="E105" s="113"/>
      <x:c r="F105" s="113"/>
      <x:c r="G105" s="113"/>
      <x:c r="H105" s="113"/>
      <x:c r="I105" s="113"/>
      <x:c r="J105" s="113"/>
      <x:c r="K105" s="113"/>
      <x:c r="L105" s="113"/>
      <x:c r="M105" s="113"/>
      <x:c r="N105" s="113"/>
      <x:c r="O105" s="113"/>
    </x:row>
    <x:row r="106">
      <x:c r="A106" s="113"/>
      <x:c r="B106" s="113"/>
      <x:c r="C106" s="113"/>
      <x:c r="D106" s="113"/>
      <x:c r="E106" s="113"/>
      <x:c r="F106" s="113"/>
      <x:c r="G106" s="113"/>
      <x:c r="H106" s="113"/>
      <x:c r="I106" s="113"/>
      <x:c r="J106" s="113"/>
      <x:c r="K106" s="113"/>
      <x:c r="L106" s="113"/>
      <x:c r="M106" s="113"/>
      <x:c r="N106" s="113"/>
      <x:c r="O106" s="113"/>
    </x:row>
    <x:row r="107">
      <x:c r="A107" s="113"/>
      <x:c r="B107" s="113"/>
      <x:c r="C107" s="113"/>
      <x:c r="D107" s="113"/>
      <x:c r="E107" s="113"/>
      <x:c r="F107" s="113"/>
      <x:c r="G107" s="113"/>
      <x:c r="H107" s="113"/>
      <x:c r="I107" s="113"/>
      <x:c r="J107" s="113"/>
      <x:c r="K107" s="113"/>
      <x:c r="L107" s="113"/>
      <x:c r="M107" s="113"/>
      <x:c r="N107" s="113"/>
      <x:c r="O107" s="113"/>
    </x:row>
    <x:row r="108">
      <x:c r="A108" s="113"/>
      <x:c r="B108" s="113"/>
      <x:c r="C108" s="113"/>
      <x:c r="D108" s="113"/>
      <x:c r="E108" s="113"/>
      <x:c r="F108" s="113"/>
      <x:c r="G108" s="113"/>
      <x:c r="H108" s="113"/>
      <x:c r="I108" s="113"/>
      <x:c r="J108" s="113"/>
      <x:c r="K108" s="113"/>
      <x:c r="L108" s="113"/>
      <x:c r="M108" s="113"/>
      <x:c r="N108" s="113"/>
      <x:c r="O108" s="113"/>
    </x:row>
    <x:row r="109">
      <x:c r="A109" s="113"/>
      <x:c r="B109" s="113"/>
      <x:c r="C109" s="113"/>
      <x:c r="D109" s="113"/>
      <x:c r="E109" s="113"/>
      <x:c r="F109" s="113"/>
      <x:c r="G109" s="113"/>
      <x:c r="H109" s="113"/>
      <x:c r="I109" s="113"/>
      <x:c r="J109" s="113"/>
      <x:c r="K109" s="113"/>
      <x:c r="L109" s="113"/>
      <x:c r="M109" s="113"/>
      <x:c r="N109" s="113"/>
      <x:c r="O109" s="113"/>
    </x:row>
    <x:row r="110">
      <x:c r="A110" s="113"/>
      <x:c r="B110" s="113"/>
      <x:c r="C110" s="113"/>
      <x:c r="D110" s="113"/>
      <x:c r="E110" s="113"/>
      <x:c r="F110" s="113"/>
      <x:c r="G110" s="113"/>
      <x:c r="H110" s="113"/>
      <x:c r="I110" s="113"/>
      <x:c r="J110" s="113"/>
      <x:c r="K110" s="113"/>
      <x:c r="L110" s="113"/>
      <x:c r="M110" s="113"/>
      <x:c r="N110" s="113"/>
      <x:c r="O110" s="113"/>
    </x:row>
    <x:row r="111">
      <x:c r="A111" s="113"/>
      <x:c r="B111" s="113"/>
      <x:c r="C111" s="113"/>
      <x:c r="D111" s="113"/>
      <x:c r="E111" s="113"/>
      <x:c r="F111" s="113"/>
      <x:c r="G111" s="113"/>
      <x:c r="H111" s="113"/>
      <x:c r="I111" s="113"/>
      <x:c r="J111" s="113"/>
      <x:c r="K111" s="113"/>
      <x:c r="L111" s="113"/>
      <x:c r="M111" s="113"/>
      <x:c r="N111" s="113"/>
      <x:c r="O111" s="113"/>
    </x:row>
    <x:row r="112">
      <x:c r="A112" s="113"/>
      <x:c r="B112" s="113"/>
      <x:c r="C112" s="113"/>
      <x:c r="D112" s="113"/>
      <x:c r="E112" s="113"/>
      <x:c r="F112" s="113"/>
      <x:c r="G112" s="113"/>
      <x:c r="H112" s="113"/>
      <x:c r="I112" s="113"/>
      <x:c r="J112" s="113"/>
      <x:c r="K112" s="113"/>
      <x:c r="L112" s="113"/>
      <x:c r="M112" s="113"/>
      <x:c r="N112" s="113"/>
      <x:c r="O112" s="113"/>
    </x:row>
    <x:row r="113">
      <x:c r="A113" s="113"/>
      <x:c r="B113" s="113"/>
      <x:c r="C113" s="113"/>
      <x:c r="D113" s="113"/>
      <x:c r="E113" s="113"/>
      <x:c r="F113" s="113"/>
      <x:c r="G113" s="113"/>
      <x:c r="H113" s="113"/>
      <x:c r="I113" s="113"/>
      <x:c r="J113" s="113"/>
      <x:c r="K113" s="113"/>
      <x:c r="L113" s="113"/>
      <x:c r="M113" s="113"/>
      <x:c r="N113" s="113"/>
      <x:c r="O113" s="113"/>
    </x:row>
    <x:row r="114">
      <x:c r="A114" s="113"/>
      <x:c r="B114" s="113"/>
      <x:c r="C114" s="113"/>
      <x:c r="D114" s="113"/>
      <x:c r="E114" s="113"/>
      <x:c r="F114" s="113"/>
      <x:c r="G114" s="113"/>
      <x:c r="H114" s="113"/>
      <x:c r="I114" s="113"/>
      <x:c r="J114" s="113"/>
      <x:c r="K114" s="113"/>
      <x:c r="L114" s="113"/>
      <x:c r="M114" s="113"/>
      <x:c r="N114" s="113"/>
      <x:c r="O114" s="113"/>
    </x:row>
    <x:row r="115">
      <x:c r="A115" s="113"/>
      <x:c r="B115" s="113"/>
      <x:c r="C115" s="113"/>
      <x:c r="D115" s="113"/>
      <x:c r="E115" s="113"/>
      <x:c r="F115" s="113"/>
      <x:c r="G115" s="113"/>
      <x:c r="H115" s="113"/>
      <x:c r="I115" s="113"/>
      <x:c r="J115" s="113"/>
      <x:c r="K115" s="113"/>
      <x:c r="L115" s="113"/>
      <x:c r="M115" s="113"/>
      <x:c r="N115" s="113"/>
      <x:c r="O115" s="113"/>
    </x:row>
    <x:row r="116">
      <x:c r="A116" s="113"/>
      <x:c r="B116" s="113"/>
      <x:c r="C116" s="113"/>
      <x:c r="D116" s="113"/>
      <x:c r="E116" s="113"/>
      <x:c r="F116" s="113"/>
      <x:c r="G116" s="113"/>
      <x:c r="H116" s="113"/>
      <x:c r="I116" s="113"/>
      <x:c r="J116" s="113"/>
      <x:c r="K116" s="113"/>
      <x:c r="L116" s="113"/>
      <x:c r="M116" s="113"/>
      <x:c r="N116" s="113"/>
      <x:c r="O116" s="113"/>
    </x:row>
    <x:row r="117">
      <x:c r="A117" s="113"/>
      <x:c r="B117" s="113"/>
      <x:c r="C117" s="113"/>
      <x:c r="D117" s="113"/>
      <x:c r="E117" s="113"/>
      <x:c r="F117" s="113"/>
      <x:c r="G117" s="113"/>
      <x:c r="H117" s="113"/>
      <x:c r="I117" s="113"/>
      <x:c r="J117" s="113"/>
      <x:c r="K117" s="113"/>
      <x:c r="L117" s="113"/>
      <x:c r="M117" s="113"/>
      <x:c r="N117" s="113"/>
      <x:c r="O117" s="113"/>
    </x:row>
    <x:row r="118">
      <x:c r="A118" s="113"/>
      <x:c r="B118" s="113"/>
      <x:c r="C118" s="113"/>
      <x:c r="D118" s="113"/>
      <x:c r="E118" s="113"/>
      <x:c r="F118" s="113"/>
      <x:c r="G118" s="113"/>
      <x:c r="H118" s="113"/>
      <x:c r="I118" s="113"/>
      <x:c r="J118" s="113"/>
      <x:c r="K118" s="113"/>
      <x:c r="L118" s="113"/>
      <x:c r="M118" s="113"/>
      <x:c r="N118" s="113"/>
      <x:c r="O118" s="113"/>
    </x:row>
    <x:row r="119">
      <x:c r="A119" s="113"/>
      <x:c r="B119" s="113"/>
      <x:c r="C119" s="113"/>
      <x:c r="D119" s="113"/>
      <x:c r="E119" s="113"/>
      <x:c r="F119" s="113"/>
      <x:c r="G119" s="113"/>
      <x:c r="H119" s="113"/>
      <x:c r="I119" s="113"/>
      <x:c r="J119" s="113"/>
      <x:c r="K119" s="113"/>
      <x:c r="L119" s="113"/>
      <x:c r="M119" s="113"/>
      <x:c r="N119" s="113"/>
      <x:c r="O119" s="113"/>
    </x:row>
    <x:row r="120">
      <x:c r="A120" s="113"/>
      <x:c r="B120" s="113"/>
      <x:c r="C120" s="113"/>
      <x:c r="D120" s="113"/>
      <x:c r="E120" s="113"/>
      <x:c r="F120" s="113"/>
      <x:c r="G120" s="113"/>
      <x:c r="H120" s="113"/>
      <x:c r="I120" s="113"/>
      <x:c r="J120" s="113"/>
      <x:c r="K120" s="113"/>
      <x:c r="L120" s="113"/>
      <x:c r="M120" s="113"/>
      <x:c r="N120" s="113"/>
      <x:c r="O120" s="113"/>
    </x:row>
  </x:sheetData>
  <x:mergeCells>
    <x:mergeCell ref="A1:L1"/>
  </x:mergeCells>
  <x:pageMargins left="0.7" right="0.7" top="0.75" bottom="0.75" header="0.3" footer="0.3"/>
</x:worksheet>
</file>
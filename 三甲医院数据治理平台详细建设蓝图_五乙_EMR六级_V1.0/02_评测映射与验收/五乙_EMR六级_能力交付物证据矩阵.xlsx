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080624901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摘要" sheetId="1" r:id="R4767622f0c004341"/>
    <x:sheet xmlns:r="http://schemas.openxmlformats.org/officeDocument/2006/relationships" name="互联互通五乙" sheetId="2" r:id="Rdfb97a7def774ee2"/>
    <x:sheet xmlns:r="http://schemas.openxmlformats.org/officeDocument/2006/relationships" name="EMR六级角色映射" sheetId="3" r:id="R0321c018b6024828"/>
    <x:sheet xmlns:r="http://schemas.openxmlformats.org/officeDocument/2006/relationships" name="闭环场景" sheetId="4" r:id="R846db35f473e4c52"/>
    <x:sheet xmlns:r="http://schemas.openxmlformats.org/officeDocument/2006/relationships" name="证据清单" sheetId="5" r:id="Rd75426368669441f"/>
    <x:sheet xmlns:r="http://schemas.openxmlformats.org/officeDocument/2006/relationships" name="验收用例" sheetId="6" r:id="Re4942f7e04ab45bd"/>
    <x:sheet xmlns:r="http://schemas.openxmlformats.org/officeDocument/2006/relationships" name="评分与差距" sheetId="7" r:id="R6bc42d54e2e9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46B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b/>
      <x:sz val="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 applyAlignment="1">
      <x:alignment horizontal="center"/>
    </x:xf>
    <x:xf numFmtId="200" fontId="5" fillId="0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4" fillId="4" borderId="7" xfId="0" applyNumberFormat="1" applyFont="1" applyFill="1" applyBorder="1"/>
    <x:xf numFmtId="200" fontId="5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/>
    <x:xf numFmtId="0" fontId="0" fillId="0" borderId="14" xfId="0" applyNumberFormat="1" applyFont="1" applyFill="1" applyBorder="1"/>
    <x:xf numFmtId="0" fontId="4" fillId="4" borderId="15" xfId="0" applyNumberFormat="1" applyFont="1" applyFill="1" applyBorder="1"/>
    <x:xf numFmtId="200" fontId="5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556576f694c2b" /><Relationship Type="http://schemas.openxmlformats.org/officeDocument/2006/relationships/theme" Target="/xl/theme/theme1.xml" Id="R73d32730f45141ce" /><Relationship Type="http://schemas.openxmlformats.org/officeDocument/2006/relationships/sharedStrings" Target="/xl/sharedStrings.xml" Id="Rdcb3bbfb376a4fa3" /><Relationship Type="http://schemas.openxmlformats.org/officeDocument/2006/relationships/worksheet" Target="/xl/worksheets/sheet1.xml" Id="R4767622f0c004341" /><Relationship Type="http://schemas.openxmlformats.org/officeDocument/2006/relationships/worksheet" Target="/xl/worksheets/sheet2.xml" Id="Rdfb97a7def774ee2" /><Relationship Type="http://schemas.openxmlformats.org/officeDocument/2006/relationships/worksheet" Target="/xl/worksheets/sheet3.xml" Id="R0321c018b6024828" /><Relationship Type="http://schemas.openxmlformats.org/officeDocument/2006/relationships/worksheet" Target="/xl/worksheets/sheet4.xml" Id="R846db35f473e4c52" /><Relationship Type="http://schemas.openxmlformats.org/officeDocument/2006/relationships/worksheet" Target="/xl/worksheets/sheet5.xml" Id="Rd75426368669441f" /><Relationship Type="http://schemas.openxmlformats.org/officeDocument/2006/relationships/worksheet" Target="/xl/worksheets/sheet6.xml" Id="Re4942f7e04ab45bd" /><Relationship Type="http://schemas.openxmlformats.org/officeDocument/2006/relationships/worksheet" Target="/xl/worksheets/sheet7.xml" Id="R6bc42d54e2e940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a7b2cdf394451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d39b3ec08f148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五乙各维度目标分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五乙目标分</c:v>
          </c:tx>
          <c:cat>
            <c:strRef>
              <c:f>'执行摘要'!$F$5:$F$14</c:f>
              <c:strCache>
                <c:ptCount val="0"/>
              </c:strCache>
            </c:strRef>
          </c:cat>
          <c:val>
            <c:numRef>
              <c:f>'执行摘要'!$G$5:$G$14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目标分与当前分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目标分</c:v>
          </c:tx>
          <c:cat>
            <c:strRef>
              <c:f>'评分与差距'!$A$5:$A$14</c:f>
              <c:strCache>
                <c:ptCount val="0"/>
              </c:strCache>
            </c:strRef>
          </c:cat>
          <c:val>
            <c:numRef>
              <c:f>'评分与差距'!$B$5:$B$14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当前得分</c:v>
          </c:tx>
          <c:cat>
            <c:strRef>
              <c:f>'评分与差距'!$A$5:$A$14</c:f>
              <c:strCache>
                <c:ptCount val="0"/>
              </c:strCache>
            </c:strRef>
          </c:cat>
          <c:val>
            <c:numRef>
              <c:f>'评分与差距'!$C$5:$C$14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16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a7b2cdf39445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39b3ec08f148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veBMatrix" displayName="FiveBMatrix" ref="A4:O45" headerRowCount="1">
  <x:tableColumns count="15">
    <x:tableColumn id="1" name="分类"/>
    <x:tableColumn id="2" name="条目编号"/>
    <x:tableColumn id="3" name="建设/评测要求"/>
    <x:tableColumn id="4" name="平台交付物"/>
    <x:tableColumn id="5" name="证据材料"/>
    <x:tableColumn id="6" name="验收口径"/>
    <x:tableColumn id="7" name="责任部门"/>
    <x:tableColumn id="8" name="实施阶段"/>
    <x:tableColumn id="9" name="优先级"/>
    <x:tableColumn id="10" name="差距等级"/>
    <x:tableColumn id="11" name="状态"/>
    <x:tableColumn id="12" name="完成率"/>
    <x:tableColumn id="13" name="证据链接"/>
    <x:tableColumn id="14" name="最后检查日期"/>
    <x:tableColumn id="15" name="来源"/>
  </x:tableColumns>
  <x:tableStyleInfo name="TableStyleMedium2" showRowStripes="1"/>
</x:table>
</file>

<file path=xl/tables/table2.xml><?xml version="1.0" encoding="utf-8"?>
<x:table xmlns:x="http://schemas.openxmlformats.org/spreadsheetml/2006/main" id="2" name="EMRRoleMatrix" displayName="EMRRoleMatrix" ref="A4:L14" headerRowCount="1">
  <x:tableColumns count="12">
    <x:tableColumn id="1" name="序号"/>
    <x:tableColumn id="2" name="工作角色"/>
    <x:tableColumn id="3" name="六级建设目标"/>
    <x:tableColumn id="4" name="数据治理支撑能力"/>
    <x:tableColumn id="5" name="核心验收口径"/>
    <x:tableColumn id="6" name="主要责任部门"/>
    <x:tableColumn id="7" name="阶段"/>
    <x:tableColumn id="8" name="关键系统"/>
    <x:tableColumn id="9" name="治理对象"/>
    <x:tableColumn id="10" name="状态"/>
    <x:tableColumn id="11" name="证据链接"/>
    <x:tableColumn id="12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ClosedLoopMatrix" displayName="ClosedLoopMatrix" ref="A4:K19" headerRowCount="1">
  <x:tableColumns count="11">
    <x:tableColumn id="1" name="编号"/>
    <x:tableColumn id="2" name="闭环场景"/>
    <x:tableColumn id="3" name="核心流程"/>
    <x:tableColumn id="4" name="关键主数据/标准"/>
    <x:tableColumn id="5" name="核心指标"/>
    <x:tableColumn id="6" name="Owner"/>
    <x:tableColumn id="7" name="优先级"/>
    <x:tableColumn id="8" name="状态"/>
    <x:tableColumn id="9" name="关键节点完整率"/>
    <x:tableColumn id="10" name="超时升级规则"/>
    <x:tableColumn id="11" name="证据链接"/>
  </x:tableColumns>
  <x:tableStyleInfo name="TableStyleMedium2" showRowStripes="1"/>
</x:table>
</file>

<file path=xl/tables/table4.xml><?xml version="1.0" encoding="utf-8"?>
<x:table xmlns:x="http://schemas.openxmlformats.org/spreadsheetml/2006/main" id="4" name="EvidenceRegister" displayName="EvidenceRegister" ref="A4:J127" headerRowCount="1">
  <x:tableColumns count="10">
    <x:tableColumn id="1" name="证据编号"/>
    <x:tableColumn id="2" name="关联条目"/>
    <x:tableColumn id="3" name="证据类型"/>
    <x:tableColumn id="4" name="证据名称"/>
    <x:tableColumn id="5" name="责任部门"/>
    <x:tableColumn id="6" name="版本"/>
    <x:tableColumn id="7" name="存储位置"/>
    <x:tableColumn id="8" name="归档状态"/>
    <x:tableColumn id="9" name="校验哈希"/>
    <x:tableColumn id="10" name="最后更新"/>
  </x:tableColumns>
  <x:tableStyleInfo name="TableStyleMedium2" showRowStripes="1"/>
</x:table>
</file>

<file path=xl/tables/table5.xml><?xml version="1.0" encoding="utf-8"?>
<x:table xmlns:x="http://schemas.openxmlformats.org/spreadsheetml/2006/main" id="5" name="AcceptanceCases" displayName="AcceptanceCases" ref="A4:J19" headerRowCount="1">
  <x:tableColumns count="10">
    <x:tableColumn id="1" name="用例编号"/>
    <x:tableColumn id="2" name="场景"/>
    <x:tableColumn id="3" name="步骤/前置"/>
    <x:tableColumn id="4" name="预期结果"/>
    <x:tableColumn id="5" name="模块"/>
    <x:tableColumn id="6" name="优先级"/>
    <x:tableColumn id="7" name="负责人"/>
    <x:tableColumn id="8" name="状态"/>
    <x:tableColumn id="9" name="实测结果"/>
    <x:tableColumn id="10" name="证据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49f3ff8af542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c98b6646d946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83a61be40e41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334339e51040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0273a248bf44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1282d0c6ed43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31fe6bfd3cce4695" /></Relationships>
</file>

<file path=xl/worksheets/sheet1.xml><?xml version="1.0" encoding="utf-8"?>
<x:worksheet xmlns:x="http://schemas.openxmlformats.org/spreadsheetml/2006/main">
  <x:sheetFormatPr defaultRowHeight="15"/>
  <x:cols>
    <x:col min="6" max="6" width="18" hidden="0" customWidth="1"/>
    <x:col min="7" max="7" width="12" hidden="0" customWidth="1"/>
    <x:col min="8" max="8" width="12" hidden="0" customWidth="1"/>
    <x:col min="9" max="9" width="22" hidden="0" customWidth="1"/>
    <x:col min="1" max="1" width="22" hidden="0" customWidth="1"/>
    <x:col min="2" max="2" width="12" hidden="0" customWidth="1"/>
    <x:col min="3" max="3" width="35" hidden="0" customWidth="1"/>
    <x:col min="4" max="4" width="30" hidden="0" customWidth="1"/>
  </x:cols>
  <x:sheetData>
    <x:row r="1" ht="30" customHeight="1">
      <x:c r="A1" s="5" t="str">
        <x:v>五乙 + EMR六级：能力、交付物与证据控制台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2" t="str">
        <x:v>所有条款、建设交付物、责任、状态和证据应使用唯一编号持续运营；正式申报以当年度官方细则为准。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34" t="str">
        <x:v>KPI</x:v>
      </x:c>
      <x:c r="B4" s="35" t="str">
        <x:v>数值</x:v>
      </x:c>
      <x:c r="C4" s="35" t="str">
        <x:v>目标/说明</x:v>
      </x:c>
      <x:c r="D4" s="36" t="str">
        <x:v>数据来源</x:v>
      </x:c>
      <x:c r="F4" s="34" t="str">
        <x:v>维度</x:v>
      </x:c>
      <x:c r="G4" s="35" t="str">
        <x:v>五乙目标分</x:v>
      </x:c>
      <x:c r="H4" s="35" t="str">
        <x:v>内部红线</x:v>
      </x:c>
      <x:c r="I4" s="36" t="str">
        <x:v>责任团队</x:v>
      </x:c>
    </x:row>
    <x:row r="5">
      <x:c r="A5" s="37" t="str">
        <x:v>五乙工程映射项</x:v>
      </x:c>
      <x:c r="B5" s="29" t="n">
        <x:f>COUNTA('互联互通五乙'!B5:B45)</x:f>
        <x:v>41</x:v>
      </x:c>
      <x:c r="C5" s="38" t="str">
        <x:v>41项工程化拆解</x:v>
      </x:c>
      <x:c r="D5" s="39" t="str">
        <x:v>互联互通五乙</x:v>
      </x:c>
      <x:c r="F5" s="57" t="str">
        <x:v>数据集标准化</x:v>
      </x:c>
      <x:c r="G5" s="54" t="n">
        <x:v>15</x:v>
      </x:c>
      <x:c r="H5" s="54" t="n">
        <x:v>15</x:v>
      </x:c>
      <x:c r="I5" s="58" t="str">
        <x:v>标准规范组/数据Owner</x:v>
      </x:c>
    </x:row>
    <x:row r="6">
      <x:c r="A6" s="37" t="str">
        <x:v>已完成项</x:v>
      </x:c>
      <x:c r="B6" s="29" t="n">
        <x:f>COUNTIF('互联互通五乙'!K5:K45,"已完成")</x:f>
        <x:v>0</x:v>
      </x:c>
      <x:c r="C6" s="38" t="str">
        <x:v>持续提升</x:v>
      </x:c>
      <x:c r="D6" s="39" t="str">
        <x:v>状态列</x:v>
      </x:c>
      <x:c r="F6" s="57" t="str">
        <x:v>共享文档</x:v>
      </x:c>
      <x:c r="G6" s="54" t="n">
        <x:v>14</x:v>
      </x:c>
      <x:c r="H6" s="54" t="n">
        <x:v>14</x:v>
      </x:c>
      <x:c r="I6" s="58" t="str">
        <x:v>CDR/文档组</x:v>
      </x:c>
    </x:row>
    <x:row r="7">
      <x:c r="A7" s="37" t="str">
        <x:v>EMR六级角色</x:v>
      </x:c>
      <x:c r="B7" s="29" t="n">
        <x:f>COUNTA('EMR六级角色映射'!B5:B14)</x:f>
        <x:v>10</x:v>
      </x:c>
      <x:c r="C7" s="38" t="str">
        <x:v>10类工作角色</x:v>
      </x:c>
      <x:c r="D7" s="39" t="str">
        <x:v>EMR六级角色映射</x:v>
      </x:c>
      <x:c r="F7" s="57" t="str">
        <x:v>技术架构</x:v>
      </x:c>
      <x:c r="G7" s="54" t="n">
        <x:v>9.8</x:v>
      </x:c>
      <x:c r="H7" s="54" t="n">
        <x:v>9.8</x:v>
      </x:c>
      <x:c r="I7" s="58" t="str">
        <x:v>平台架构组</x:v>
      </x:c>
    </x:row>
    <x:row r="8">
      <x:c r="A8" s="37" t="str">
        <x:v>闭环场景</x:v>
      </x:c>
      <x:c r="B8" s="29" t="n">
        <x:f>COUNTA('闭环场景'!B5:B19)</x:f>
        <x:v>15</x:v>
      </x:c>
      <x:c r="C8" s="38" t="str">
        <x:v>首批15个</x:v>
      </x:c>
      <x:c r="D8" s="39" t="str">
        <x:v>闭环场景</x:v>
      </x:c>
      <x:c r="F8" s="57" t="str">
        <x:v>互操作服务</x:v>
      </x:c>
      <x:c r="G8" s="54" t="n">
        <x:v>25</x:v>
      </x:c>
      <x:c r="H8" s="54" t="n">
        <x:v>25</x:v>
      </x:c>
      <x:c r="I8" s="58" t="str">
        <x:v>集成与服务组</x:v>
      </x:c>
    </x:row>
    <x:row r="9">
      <x:c r="A9" s="37" t="str">
        <x:v>P0验收用例</x:v>
      </x:c>
      <x:c r="B9" s="29" t="n">
        <x:f>COUNTIF('验收用例'!F5:F19,"P0")</x:f>
        <x:v>14</x:v>
      </x:c>
      <x:c r="C9" s="38" t="str">
        <x:v>全部通过</x:v>
      </x:c>
      <x:c r="D9" s="39" t="str">
        <x:v>验收用例</x:v>
      </x:c>
      <x:c r="F9" s="57" t="str">
        <x:v>基础设施</x:v>
      </x:c>
      <x:c r="G9" s="54" t="n">
        <x:v>4.6</x:v>
      </x:c>
      <x:c r="H9" s="54" t="n">
        <x:v>4.6</x:v>
      </x:c>
      <x:c r="I9" s="58" t="str">
        <x:v>运维组</x:v>
      </x:c>
    </x:row>
    <x:row r="10">
      <x:c r="A10" s="40" t="str">
        <x:v>证据完整率</x:v>
      </x:c>
      <x:c r="B10" s="41" t="n">
        <x:f>IFERROR(COUNTIF('证据清单'!H5:H200,"已归档")/COUNTA('证据清单'!B5:B200),0)</x:f>
        <x:v>0</x:v>
      </x:c>
      <x:c r="C10" s="42" t="str">
        <x:v>申报前100%</x:v>
      </x:c>
      <x:c r="D10" s="43" t="str">
        <x:v>证据清单</x:v>
      </x:c>
      <x:c r="F10" s="57" t="str">
        <x:v>网络与安全</x:v>
      </x:c>
      <x:c r="G10" s="54" t="n">
        <x:v>5.49</x:v>
      </x:c>
      <x:c r="H10" s="54" t="n">
        <x:v>5.49</x:v>
      </x:c>
      <x:c r="I10" s="58" t="str">
        <x:v>网安办</x:v>
      </x:c>
    </x:row>
    <x:row r="11">
      <x:c r="F11" s="57" t="str">
        <x:v>信息安全</x:v>
      </x:c>
      <x:c r="G11" s="54" t="n">
        <x:v>3.21</x:v>
      </x:c>
      <x:c r="H11" s="54" t="n">
        <x:v>3.21</x:v>
      </x:c>
      <x:c r="I11" s="58" t="str">
        <x:v>网安办</x:v>
      </x:c>
    </x:row>
    <x:row r="12">
      <x:c r="F12" s="57" t="str">
        <x:v>业务系统</x:v>
      </x:c>
      <x:c r="G12" s="54" t="n">
        <x:v>2.1</x:v>
      </x:c>
      <x:c r="H12" s="54" t="n">
        <x:v>2.1</x:v>
      </x:c>
      <x:c r="I12" s="58" t="str">
        <x:v>应用平台主管</x:v>
      </x:c>
    </x:row>
    <x:row r="13">
      <x:c r="A13" s="34" t="str">
        <x:v>本包关键规模</x:v>
      </x:c>
      <x:c r="B13" s="35" t="str">
        <x:v>数量</x:v>
      </x:c>
      <x:c r="C13" s="35" t="str">
        <x:v>建设含义</x:v>
      </x:c>
      <x:c r="D13" s="36" t="str">
        <x:v>使用入口</x:v>
      </x:c>
      <x:c r="F13" s="57" t="str">
        <x:v>应用效果</x:v>
      </x:c>
      <x:c r="G13" s="54" t="n">
        <x:v>7.2</x:v>
      </x:c>
      <x:c r="H13" s="54" t="n">
        <x:v>7.2</x:v>
      </x:c>
      <x:c r="I13" s="58" t="str">
        <x:v>业务Owner</x:v>
      </x:c>
    </x:row>
    <x:row r="14">
      <x:c r="A14" s="57" t="str">
        <x:v>数据域</x:v>
      </x:c>
      <x:c r="B14" s="54" t="n">
        <x:v>15</x:v>
      </x:c>
      <x:c r="C14" s="54" t="str">
        <x:v>按业务语义划分Owner和资产</x:v>
      </x:c>
      <x:c r="D14" s="58" t="str">
        <x:v>数据域模型</x:v>
      </x:c>
      <x:c r="F14" s="57" t="str">
        <x:v>平台连接</x:v>
      </x:c>
      <x:c r="G14" s="54" t="n">
        <x:v>3.6</x:v>
      </x:c>
      <x:c r="H14" s="54" t="n">
        <x:v>3.6</x:v>
      </x:c>
      <x:c r="I14" s="58" t="str">
        <x:v>集成组</x:v>
      </x:c>
    </x:row>
    <x:row r="15">
      <x:c r="A15" s="57" t="str">
        <x:v>平台模块</x:v>
      </x:c>
      <x:c r="B15" s="54" t="n">
        <x:v>19</x:v>
      </x:c>
      <x:c r="C15" s="54" t="str">
        <x:v>形成可采购、可建设、可验收模块</x:v>
      </x:c>
      <x:c r="D15" s="58" t="str">
        <x:v>总体设计</x:v>
      </x:c>
      <x:c r="F15" s="59" t="str">
        <x:v>总分</x:v>
      </x:c>
      <x:c r="G15" s="60" t="n">
        <x:v>90</x:v>
      </x:c>
      <x:c r="H15" s="60" t="n">
        <x:v>90</x:v>
      </x:c>
      <x:c r="I15" s="61" t="str">
        <x:v>项目办</x:v>
      </x:c>
    </x:row>
    <x:row r="16">
      <x:c r="A16" s="57" t="str">
        <x:v>物理表</x:v>
      </x:c>
      <x:c r="B16" s="54" t="n">
        <x:v>58</x:v>
      </x:c>
      <x:c r="C16" s="54" t="str">
        <x:v>参考逻辑/物理模型</x:v>
      </x:c>
      <x:c r="D16" s="58" t="str">
        <x:v>数据模型工作簿/DDL</x:v>
      </x:c>
    </x:row>
    <x:row r="17">
      <x:c r="A17" s="57" t="str">
        <x:v>模型字段</x:v>
      </x:c>
      <x:c r="B17" s="54" t="n">
        <x:v>931</x:v>
      </x:c>
      <x:c r="C17" s="54" t="str">
        <x:v>字段级标准、质量、安全和血缘</x:v>
      </x:c>
      <x:c r="D17" s="58" t="str">
        <x:v>字段字典</x:v>
      </x:c>
    </x:row>
    <x:row r="18">
      <x:c r="A18" s="59" t="str">
        <x:v>WBS任务</x:v>
      </x:c>
      <x:c r="B18" s="60" t="n">
        <x:v>139</x:v>
      </x:c>
      <x:c r="C18" s="60" t="str">
        <x:v>按阶段与工作流执行</x:v>
      </x:c>
      <x:c r="D18" s="61" t="str">
        <x:v>项目管理工作簿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1d49f3ff8af54219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42" hidden="0" customWidth="1"/>
    <x:col min="4" max="4" width="30" hidden="0" customWidth="1"/>
    <x:col min="5" max="5" width="32" hidden="0" customWidth="1"/>
    <x:col min="6" max="6" width="30" hidden="0" customWidth="1"/>
    <x:col min="7" max="7" width="23" hidden="0" customWidth="1"/>
    <x:col min="8" max="8" width="12" hidden="0" customWidth="1"/>
    <x:col min="9" max="9" width="10" hidden="0" customWidth="1"/>
    <x:col min="10" max="10" width="12" hidden="0" customWidth="1"/>
    <x:col min="11" max="11" width="12" hidden="0" customWidth="1"/>
    <x:col min="12" max="12" width="10" hidden="0" customWidth="1"/>
    <x:col min="13" max="13" width="36" hidden="0" customWidth="1"/>
    <x:col min="14" max="14" width="15" hidden="0" customWidth="1"/>
    <x:col min="15" max="15" width="28" hidden="0" customWidth="1"/>
  </x:cols>
  <x:sheetData>
    <x:row r="1" ht="30" customHeight="1">
      <x:c r="A1" s="5" t="str">
        <x:v>互联互通五级乙等工程映射与证据台账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8" customHeight="1">
      <x:c r="A2" s="12" t="str">
        <x:v>建议逐项绑定资产、接口、运行数据、测试记录、责任签字和版本哈希；不可只保存截图。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4">
      <x:c r="A4" s="34" t="str">
        <x:v>分类</x:v>
      </x:c>
      <x:c r="B4" s="35" t="str">
        <x:v>条目编号</x:v>
      </x:c>
      <x:c r="C4" s="35" t="str">
        <x:v>建设/评测要求</x:v>
      </x:c>
      <x:c r="D4" s="35" t="str">
        <x:v>平台交付物</x:v>
      </x:c>
      <x:c r="E4" s="35" t="str">
        <x:v>证据材料</x:v>
      </x:c>
      <x:c r="F4" s="35" t="str">
        <x:v>验收口径</x:v>
      </x:c>
      <x:c r="G4" s="35" t="str">
        <x:v>责任部门</x:v>
      </x:c>
      <x:c r="H4" s="35" t="str">
        <x:v>实施阶段</x:v>
      </x:c>
      <x:c r="I4" s="35" t="str">
        <x:v>优先级</x:v>
      </x:c>
      <x:c r="J4" s="35" t="str">
        <x:v>差距等级</x:v>
      </x:c>
      <x:c r="K4" s="35" t="str">
        <x:v>状态</x:v>
      </x:c>
      <x:c r="L4" s="35" t="str">
        <x:v>完成率</x:v>
      </x:c>
      <x:c r="M4" s="35" t="str">
        <x:v>证据链接</x:v>
      </x:c>
      <x:c r="N4" s="35" t="str">
        <x:v>最后检查日期</x:v>
      </x:c>
      <x:c r="O4" s="36" t="str">
        <x:v>来源</x:v>
      </x:c>
    </x:row>
    <x:row r="5">
      <x:c r="A5" s="57" t="str">
        <x:v>数据资源标准化</x:v>
      </x:c>
      <x:c r="B5" s="54" t="str">
        <x:v>HY-DATA-01</x:v>
      </x:c>
      <x:c r="C5" s="54" t="str">
        <x:v>核心数据集字段、类型、格式和值域符合国家卫生健康信息标准</x:v>
      </x:c>
      <x:c r="D5" s="54" t="str">
        <x:v>数据标准中心、字段映射、值域校验</x:v>
      </x:c>
      <x:c r="E5" s="54" t="str">
        <x:v>标准版本、映射和测试报告</x:v>
      </x:c>
      <x:c r="F5" s="54" t="str">
        <x:v>关键数据元映射100%，值域合法率&gt;=99%</x:v>
      </x:c>
      <x:c r="G5" s="54" t="str">
        <x:v>标准规范组/数据Owner</x:v>
      </x:c>
      <x:c r="H5" s="54" t="str">
        <x:v>阶段1</x:v>
      </x:c>
      <x:c r="I5" s="54" t="str">
        <x:v>P0</x:v>
      </x:c>
      <x:c r="J5" s="54" t="str">
        <x:v>待评估</x:v>
      </x:c>
      <x:c r="K5" s="54" t="str">
        <x:v>未开始</x:v>
      </x:c>
      <x:c r="L5" s="67" t="n">
        <x:v>0</x:v>
      </x:c>
      <x:c r="M5" s="54" t="str"/>
      <x:c r="N5" s="54" t="str"/>
      <x:c r="O5" s="58" t="str">
        <x:v>互联互通标准化成熟度测评方案（2020年版）</x:v>
      </x:c>
    </x:row>
    <x:row r="6">
      <x:c r="A6" s="57" t="str">
        <x:v>数据资源标准化</x:v>
      </x:c>
      <x:c r="B6" s="54" t="str">
        <x:v>HY-DATA-02</x:v>
      </x:c>
      <x:c r="C6" s="54" t="str">
        <x:v>电子病历基础数据集、病历概要、门急诊、住院、检查检验和围术期数据完整汇聚</x:v>
      </x:c>
      <x:c r="D6" s="54" t="str">
        <x:v>CDR临床模型</x:v>
      </x:c>
      <x:c r="E6" s="54" t="str">
        <x:v>覆盖清单和数据对账</x:v>
      </x:c>
      <x:c r="F6" s="54" t="str">
        <x:v>关键业务覆盖&gt;=95%，关键字段完整率&gt;=98%</x:v>
      </x:c>
      <x:c r="G6" s="54" t="str">
        <x:v>标准规范组/数据Owner</x:v>
      </x:c>
      <x:c r="H6" s="54" t="str">
        <x:v>阶段1</x:v>
      </x:c>
      <x:c r="I6" s="54" t="str">
        <x:v>P0</x:v>
      </x:c>
      <x:c r="J6" s="54" t="str">
        <x:v>待评估</x:v>
      </x:c>
      <x:c r="K6" s="54" t="str">
        <x:v>未开始</x:v>
      </x:c>
      <x:c r="L6" s="67" t="n">
        <x:v>0</x:v>
      </x:c>
      <x:c r="M6" s="54" t="str"/>
      <x:c r="N6" s="54" t="str"/>
      <x:c r="O6" s="58" t="str">
        <x:v>互联互通标准化成熟度测评方案（2020年版）</x:v>
      </x:c>
    </x:row>
    <x:row r="7">
      <x:c r="A7" s="57" t="str">
        <x:v>数据资源标准化</x:v>
      </x:c>
      <x:c r="B7" s="54" t="str">
        <x:v>HY-DATA-03</x:v>
      </x:c>
      <x:c r="C7" s="54" t="str">
        <x:v>统一个人、人员、机构科室注册信息</x:v>
      </x:c>
      <x:c r="D7" s="54" t="str">
        <x:v>EMPI和组织人员MDM</x:v>
      </x:c>
      <x:c r="E7" s="54" t="str">
        <x:v>重复率报告、组织树、XREF</x:v>
      </x:c>
      <x:c r="F7" s="54" t="str">
        <x:v>患者重复率&lt;0.1%，科室人员映射&gt;=99%</x:v>
      </x:c>
      <x:c r="G7" s="54" t="str">
        <x:v>标准规范组/数据Owner</x:v>
      </x:c>
      <x:c r="H7" s="54" t="str">
        <x:v>阶段1</x:v>
      </x:c>
      <x:c r="I7" s="54" t="str">
        <x:v>P0</x:v>
      </x:c>
      <x:c r="J7" s="54" t="str">
        <x:v>待评估</x:v>
      </x:c>
      <x:c r="K7" s="54" t="str">
        <x:v>未开始</x:v>
      </x:c>
      <x:c r="L7" s="67" t="n">
        <x:v>0</x:v>
      </x:c>
      <x:c r="M7" s="54" t="str"/>
      <x:c r="N7" s="54" t="str"/>
      <x:c r="O7" s="58" t="str">
        <x:v>互联互通标准化成熟度测评方案（2020年版）</x:v>
      </x:c>
    </x:row>
    <x:row r="8">
      <x:c r="A8" s="57" t="str">
        <x:v>数据资源标准化</x:v>
      </x:c>
      <x:c r="B8" s="54" t="str">
        <x:v>HY-DATA-04</x:v>
      </x:c>
      <x:c r="C8" s="54" t="str">
        <x:v>统一院内术语、字典和编码，支持版本、别名和映射</x:v>
      </x:c>
      <x:c r="D8" s="54" t="str">
        <x:v>术语服务和ConceptMap</x:v>
      </x:c>
      <x:c r="E8" s="54" t="str">
        <x:v>术语台账、版本和公告</x:v>
      </x:c>
      <x:c r="F8" s="54" t="str">
        <x:v>附件121项全部纳管，P0术语标准化100%</x:v>
      </x:c>
      <x:c r="G8" s="54" t="str">
        <x:v>标准规范组/数据Owner</x:v>
      </x:c>
      <x:c r="H8" s="54" t="str">
        <x:v>阶段1</x:v>
      </x:c>
      <x:c r="I8" s="54" t="str">
        <x:v>P0</x:v>
      </x:c>
      <x:c r="J8" s="54" t="str">
        <x:v>待评估</x:v>
      </x:c>
      <x:c r="K8" s="54" t="str">
        <x:v>未开始</x:v>
      </x:c>
      <x:c r="L8" s="67" t="n">
        <x:v>0</x:v>
      </x:c>
      <x:c r="M8" s="54" t="str"/>
      <x:c r="N8" s="54" t="str"/>
      <x:c r="O8" s="58" t="str">
        <x:v>互联互通标准化成熟度测评方案（2020年版）</x:v>
      </x:c>
    </x:row>
    <x:row r="9">
      <x:c r="A9" s="57" t="str">
        <x:v>数据资源标准化</x:v>
      </x:c>
      <x:c r="B9" s="54" t="str">
        <x:v>HY-DATA-05</x:v>
      </x:c>
      <x:c r="C9" s="54" t="str">
        <x:v>质量问题可发现、定位、整改和复测</x:v>
      </x:c>
      <x:c r="D9" s="54" t="str">
        <x:v>质量规则与问题工单</x:v>
      </x:c>
      <x:c r="E9" s="54" t="str">
        <x:v>日报、工单、复测和趋势</x:v>
      </x:c>
      <x:c r="F9" s="54" t="str">
        <x:v>严重问题100%工单化，SLA闭环&gt;=95%</x:v>
      </x:c>
      <x:c r="G9" s="54" t="str">
        <x:v>标准规范组/数据Owner</x:v>
      </x:c>
      <x:c r="H9" s="54" t="str">
        <x:v>阶段1</x:v>
      </x:c>
      <x:c r="I9" s="54" t="str">
        <x:v>P0</x:v>
      </x:c>
      <x:c r="J9" s="54" t="str">
        <x:v>待评估</x:v>
      </x:c>
      <x:c r="K9" s="54" t="str">
        <x:v>未开始</x:v>
      </x:c>
      <x:c r="L9" s="67" t="n">
        <x:v>0</x:v>
      </x:c>
      <x:c r="M9" s="54" t="str"/>
      <x:c r="N9" s="54" t="str"/>
      <x:c r="O9" s="58" t="str">
        <x:v>互联互通标准化成熟度测评方案（2020年版）</x:v>
      </x:c>
    </x:row>
    <x:row r="10">
      <x:c r="A10" s="57" t="str">
        <x:v>共享文档标准化</x:v>
      </x:c>
      <x:c r="B10" s="54" t="str">
        <x:v>HY-DOC-01</x:v>
      </x:c>
      <x:c r="C10" s="54" t="str">
        <x:v>病历概要共享文档</x:v>
      </x:c>
      <x:c r="D10" s="54" t="str">
        <x:v>结构化模板、生成和校验</x:v>
      </x:c>
      <x:c r="E10" s="54" t="str">
        <x:v>文档样例、Schema校验和交换日志</x:v>
      </x:c>
      <x:c r="F10" s="54" t="str">
        <x:v>抽样文档结构、代码和必填项100%通过</x:v>
      </x:c>
      <x:c r="G10" s="54" t="str">
        <x:v>共享文档组</x:v>
      </x:c>
      <x:c r="H10" s="54" t="str">
        <x:v>阶段2</x:v>
      </x:c>
      <x:c r="I10" s="54" t="str">
        <x:v>P0</x:v>
      </x:c>
      <x:c r="J10" s="54" t="str">
        <x:v>待评估</x:v>
      </x:c>
      <x:c r="K10" s="54" t="str">
        <x:v>未开始</x:v>
      </x:c>
      <x:c r="L10" s="67" t="n">
        <x:v>0</x:v>
      </x:c>
      <x:c r="M10" s="54" t="str"/>
      <x:c r="N10" s="54" t="str"/>
      <x:c r="O10" s="58" t="str">
        <x:v>互联互通标准化成熟度测评方案（2020年版）</x:v>
      </x:c>
    </x:row>
    <x:row r="11">
      <x:c r="A11" s="57" t="str">
        <x:v>共享文档标准化</x:v>
      </x:c>
      <x:c r="B11" s="54" t="str">
        <x:v>HY-DOC-02</x:v>
      </x:c>
      <x:c r="C11" s="54" t="str">
        <x:v>门急诊病历共享文档</x:v>
      </x:c>
      <x:c r="D11" s="54" t="str">
        <x:v>门急诊文档与就诊关联</x:v>
      </x:c>
      <x:c r="E11" s="54" t="str">
        <x:v>文档样例、Schema校验和交换日志</x:v>
      </x:c>
      <x:c r="F11" s="54" t="str">
        <x:v>抽样文档结构、代码和必填项100%通过</x:v>
      </x:c>
      <x:c r="G11" s="54" t="str">
        <x:v>共享文档组</x:v>
      </x:c>
      <x:c r="H11" s="54" t="str">
        <x:v>阶段2</x:v>
      </x:c>
      <x:c r="I11" s="54" t="str">
        <x:v>P0</x:v>
      </x:c>
      <x:c r="J11" s="54" t="str">
        <x:v>待评估</x:v>
      </x:c>
      <x:c r="K11" s="54" t="str">
        <x:v>未开始</x:v>
      </x:c>
      <x:c r="L11" s="67" t="n">
        <x:v>0</x:v>
      </x:c>
      <x:c r="M11" s="54" t="str"/>
      <x:c r="N11" s="54" t="str"/>
      <x:c r="O11" s="58" t="str">
        <x:v>互联互通标准化成熟度测评方案（2020年版）</x:v>
      </x:c>
    </x:row>
    <x:row r="12">
      <x:c r="A12" s="57" t="str">
        <x:v>共享文档标准化</x:v>
      </x:c>
      <x:c r="B12" s="54" t="str">
        <x:v>HY-DOC-03</x:v>
      </x:c>
      <x:c r="C12" s="54" t="str">
        <x:v>住院病案首页/出院小结</x:v>
      </x:c>
      <x:c r="D12" s="54" t="str">
        <x:v>住院文档、签名和归档</x:v>
      </x:c>
      <x:c r="E12" s="54" t="str">
        <x:v>文档样例、Schema校验和交换日志</x:v>
      </x:c>
      <x:c r="F12" s="54" t="str">
        <x:v>抽样文档结构、代码和必填项100%通过</x:v>
      </x:c>
      <x:c r="G12" s="54" t="str">
        <x:v>共享文档组</x:v>
      </x:c>
      <x:c r="H12" s="54" t="str">
        <x:v>阶段2</x:v>
      </x:c>
      <x:c r="I12" s="54" t="str">
        <x:v>P0</x:v>
      </x:c>
      <x:c r="J12" s="54" t="str">
        <x:v>待评估</x:v>
      </x:c>
      <x:c r="K12" s="54" t="str">
        <x:v>未开始</x:v>
      </x:c>
      <x:c r="L12" s="67" t="n">
        <x:v>0</x:v>
      </x:c>
      <x:c r="M12" s="54" t="str"/>
      <x:c r="N12" s="54" t="str"/>
      <x:c r="O12" s="58" t="str">
        <x:v>互联互通标准化成熟度测评方案（2020年版）</x:v>
      </x:c>
    </x:row>
    <x:row r="13">
      <x:c r="A13" s="57" t="str">
        <x:v>共享文档标准化</x:v>
      </x:c>
      <x:c r="B13" s="54" t="str">
        <x:v>HY-DOC-04</x:v>
      </x:c>
      <x:c r="C13" s="54" t="str">
        <x:v>检查报告共享文档</x:v>
      </x:c>
      <x:c r="D13" s="54" t="str">
        <x:v>检查报告与影像索引</x:v>
      </x:c>
      <x:c r="E13" s="54" t="str">
        <x:v>文档样例、Schema校验和交换日志</x:v>
      </x:c>
      <x:c r="F13" s="54" t="str">
        <x:v>抽样文档结构、代码和必填项100%通过</x:v>
      </x:c>
      <x:c r="G13" s="54" t="str">
        <x:v>共享文档组</x:v>
      </x:c>
      <x:c r="H13" s="54" t="str">
        <x:v>阶段2</x:v>
      </x:c>
      <x:c r="I13" s="54" t="str">
        <x:v>P0</x:v>
      </x:c>
      <x:c r="J13" s="54" t="str">
        <x:v>待评估</x:v>
      </x:c>
      <x:c r="K13" s="54" t="str">
        <x:v>未开始</x:v>
      </x:c>
      <x:c r="L13" s="67" t="n">
        <x:v>0</x:v>
      </x:c>
      <x:c r="M13" s="54" t="str"/>
      <x:c r="N13" s="54" t="str"/>
      <x:c r="O13" s="58" t="str">
        <x:v>互联互通标准化成熟度测评方案（2020年版）</x:v>
      </x:c>
    </x:row>
    <x:row r="14">
      <x:c r="A14" s="57" t="str">
        <x:v>共享文档标准化</x:v>
      </x:c>
      <x:c r="B14" s="54" t="str">
        <x:v>HY-DOC-05</x:v>
      </x:c>
      <x:c r="C14" s="54" t="str">
        <x:v>检验报告共享文档</x:v>
      </x:c>
      <x:c r="D14" s="54" t="str">
        <x:v>检验报告、标本和危急值</x:v>
      </x:c>
      <x:c r="E14" s="54" t="str">
        <x:v>文档样例、Schema校验和交换日志</x:v>
      </x:c>
      <x:c r="F14" s="54" t="str">
        <x:v>抽样文档结构、代码和必填项100%通过</x:v>
      </x:c>
      <x:c r="G14" s="54" t="str">
        <x:v>共享文档组</x:v>
      </x:c>
      <x:c r="H14" s="54" t="str">
        <x:v>阶段2</x:v>
      </x:c>
      <x:c r="I14" s="54" t="str">
        <x:v>P0</x:v>
      </x:c>
      <x:c r="J14" s="54" t="str">
        <x:v>待评估</x:v>
      </x:c>
      <x:c r="K14" s="54" t="str">
        <x:v>未开始</x:v>
      </x:c>
      <x:c r="L14" s="67" t="n">
        <x:v>0</x:v>
      </x:c>
      <x:c r="M14" s="54" t="str"/>
      <x:c r="N14" s="54" t="str"/>
      <x:c r="O14" s="58" t="str">
        <x:v>互联互通标准化成熟度测评方案（2020年版）</x:v>
      </x:c>
    </x:row>
    <x:row r="15">
      <x:c r="A15" s="57" t="str">
        <x:v>共享文档标准化</x:v>
      </x:c>
      <x:c r="B15" s="54" t="str">
        <x:v>HY-DOC-06</x:v>
      </x:c>
      <x:c r="C15" s="54" t="str">
        <x:v>手术麻醉共享文档</x:v>
      </x:c>
      <x:c r="D15" s="54" t="str">
        <x:v>围术期文档和事件</x:v>
      </x:c>
      <x:c r="E15" s="54" t="str">
        <x:v>文档样例、Schema校验和交换日志</x:v>
      </x:c>
      <x:c r="F15" s="54" t="str">
        <x:v>抽样文档结构、代码和必填项100%通过</x:v>
      </x:c>
      <x:c r="G15" s="54" t="str">
        <x:v>共享文档组</x:v>
      </x:c>
      <x:c r="H15" s="54" t="str">
        <x:v>阶段2</x:v>
      </x:c>
      <x:c r="I15" s="54" t="str">
        <x:v>P0</x:v>
      </x:c>
      <x:c r="J15" s="54" t="str">
        <x:v>待评估</x:v>
      </x:c>
      <x:c r="K15" s="54" t="str">
        <x:v>未开始</x:v>
      </x:c>
      <x:c r="L15" s="67" t="n">
        <x:v>0</x:v>
      </x:c>
      <x:c r="M15" s="54" t="str"/>
      <x:c r="N15" s="54" t="str"/>
      <x:c r="O15" s="58" t="str">
        <x:v>互联互通标准化成熟度测评方案（2020年版）</x:v>
      </x:c>
    </x:row>
    <x:row r="16">
      <x:c r="A16" s="57" t="str">
        <x:v>共享文档标准化</x:v>
      </x:c>
      <x:c r="B16" s="54" t="str">
        <x:v>HY-DOC-07</x:v>
      </x:c>
      <x:c r="C16" s="54" t="str">
        <x:v>健康体检报告共享文档</x:v>
      </x:c>
      <x:c r="D16" s="54" t="str">
        <x:v>体检报告结构化</x:v>
      </x:c>
      <x:c r="E16" s="54" t="str">
        <x:v>文档样例、Schema校验和交换日志</x:v>
      </x:c>
      <x:c r="F16" s="54" t="str">
        <x:v>抽样文档结构、代码和必填项100%通过</x:v>
      </x:c>
      <x:c r="G16" s="54" t="str">
        <x:v>共享文档组</x:v>
      </x:c>
      <x:c r="H16" s="54" t="str">
        <x:v>阶段2</x:v>
      </x:c>
      <x:c r="I16" s="54" t="str">
        <x:v>P0</x:v>
      </x:c>
      <x:c r="J16" s="54" t="str">
        <x:v>待评估</x:v>
      </x:c>
      <x:c r="K16" s="54" t="str">
        <x:v>未开始</x:v>
      </x:c>
      <x:c r="L16" s="67" t="n">
        <x:v>0</x:v>
      </x:c>
      <x:c r="M16" s="54" t="str"/>
      <x:c r="N16" s="54" t="str"/>
      <x:c r="O16" s="58" t="str">
        <x:v>互联互通标准化成熟度测评方案（2020年版）</x:v>
      </x:c>
    </x:row>
    <x:row r="17">
      <x:c r="A17" s="57" t="str">
        <x:v>共享文档标准化</x:v>
      </x:c>
      <x:c r="B17" s="54" t="str">
        <x:v>HY-DOC-08</x:v>
      </x:c>
      <x:c r="C17" s="54" t="str">
        <x:v>法定医学报告共享文档</x:v>
      </x:c>
      <x:c r="D17" s="54" t="str">
        <x:v>法定报告结构化和交换</x:v>
      </x:c>
      <x:c r="E17" s="54" t="str">
        <x:v>文档样例、Schema校验和交换日志</x:v>
      </x:c>
      <x:c r="F17" s="54" t="str">
        <x:v>抽样文档结构、代码和必填项100%通过</x:v>
      </x:c>
      <x:c r="G17" s="54" t="str">
        <x:v>共享文档组</x:v>
      </x:c>
      <x:c r="H17" s="54" t="str">
        <x:v>阶段2</x:v>
      </x:c>
      <x:c r="I17" s="54" t="str">
        <x:v>P0</x:v>
      </x:c>
      <x:c r="J17" s="54" t="str">
        <x:v>待评估</x:v>
      </x:c>
      <x:c r="K17" s="54" t="str">
        <x:v>未开始</x:v>
      </x:c>
      <x:c r="L17" s="67" t="n">
        <x:v>0</x:v>
      </x:c>
      <x:c r="M17" s="54" t="str"/>
      <x:c r="N17" s="54" t="str"/>
      <x:c r="O17" s="58" t="str">
        <x:v>互联互通标准化成熟度测评方案（2020年版）</x:v>
      </x:c>
    </x:row>
    <x:row r="18">
      <x:c r="A18" s="57" t="str">
        <x:v>互联互通交互服务</x:v>
      </x:c>
      <x:c r="B18" s="54" t="str">
        <x:v>HY-SVC-01</x:v>
      </x:c>
      <x:c r="C18" s="54" t="str">
        <x:v>个人注册、查询和更新服务</x:v>
      </x:c>
      <x:c r="D18" s="54" t="str">
        <x:v>EMPI/FHIR Patient</x:v>
      </x:c>
      <x:c r="E18" s="54" t="str">
        <x:v>接口文档、联调、性能和调用日志</x:v>
      </x:c>
      <x:c r="F18" s="54" t="str">
        <x:v>可用性&gt;=99.9%，幂等、鉴权、审计、错误码通过</x:v>
      </x:c>
      <x:c r="G18" s="54" t="str">
        <x:v>集成/数据服务组</x:v>
      </x:c>
      <x:c r="H18" s="54" t="str">
        <x:v>阶段2</x:v>
      </x:c>
      <x:c r="I18" s="54" t="str">
        <x:v>P0</x:v>
      </x:c>
      <x:c r="J18" s="54" t="str">
        <x:v>待评估</x:v>
      </x:c>
      <x:c r="K18" s="54" t="str">
        <x:v>未开始</x:v>
      </x:c>
      <x:c r="L18" s="67" t="n">
        <x:v>0</x:v>
      </x:c>
      <x:c r="M18" s="54" t="str"/>
      <x:c r="N18" s="54" t="str"/>
      <x:c r="O18" s="58" t="str">
        <x:v>互联互通标准化成熟度测评方案（2020年版）</x:v>
      </x:c>
    </x:row>
    <x:row r="19">
      <x:c r="A19" s="57" t="str">
        <x:v>互联互通交互服务</x:v>
      </x:c>
      <x:c r="B19" s="54" t="str">
        <x:v>HY-SVC-02</x:v>
      </x:c>
      <x:c r="C19" s="54" t="str">
        <x:v>人员注册、查询和更新服务</x:v>
      </x:c>
      <x:c r="D19" s="54" t="str">
        <x:v>Practitioner/PractitionerRole</x:v>
      </x:c>
      <x:c r="E19" s="54" t="str">
        <x:v>接口文档、联调、性能和调用日志</x:v>
      </x:c>
      <x:c r="F19" s="54" t="str">
        <x:v>可用性&gt;=99.9%，幂等、鉴权、审计、错误码通过</x:v>
      </x:c>
      <x:c r="G19" s="54" t="str">
        <x:v>集成/数据服务组</x:v>
      </x:c>
      <x:c r="H19" s="54" t="str">
        <x:v>阶段2</x:v>
      </x:c>
      <x:c r="I19" s="54" t="str">
        <x:v>P0</x:v>
      </x:c>
      <x:c r="J19" s="54" t="str">
        <x:v>待评估</x:v>
      </x:c>
      <x:c r="K19" s="54" t="str">
        <x:v>未开始</x:v>
      </x:c>
      <x:c r="L19" s="67" t="n">
        <x:v>0</x:v>
      </x:c>
      <x:c r="M19" s="54" t="str"/>
      <x:c r="N19" s="54" t="str"/>
      <x:c r="O19" s="58" t="str">
        <x:v>互联互通标准化成熟度测评方案（2020年版）</x:v>
      </x:c>
    </x:row>
    <x:row r="20">
      <x:c r="A20" s="57" t="str">
        <x:v>互联互通交互服务</x:v>
      </x:c>
      <x:c r="B20" s="54" t="str">
        <x:v>HY-SVC-03</x:v>
      </x:c>
      <x:c r="C20" s="54" t="str">
        <x:v>机构科室注册、查询和更新服务</x:v>
      </x:c>
      <x:c r="D20" s="54" t="str">
        <x:v>Organization/Location</x:v>
      </x:c>
      <x:c r="E20" s="54" t="str">
        <x:v>接口文档、联调、性能和调用日志</x:v>
      </x:c>
      <x:c r="F20" s="54" t="str">
        <x:v>可用性&gt;=99.9%，幂等、鉴权、审计、错误码通过</x:v>
      </x:c>
      <x:c r="G20" s="54" t="str">
        <x:v>集成/数据服务组</x:v>
      </x:c>
      <x:c r="H20" s="54" t="str">
        <x:v>阶段2</x:v>
      </x:c>
      <x:c r="I20" s="54" t="str">
        <x:v>P0</x:v>
      </x:c>
      <x:c r="J20" s="54" t="str">
        <x:v>待评估</x:v>
      </x:c>
      <x:c r="K20" s="54" t="str">
        <x:v>未开始</x:v>
      </x:c>
      <x:c r="L20" s="67" t="n">
        <x:v>0</x:v>
      </x:c>
      <x:c r="M20" s="54" t="str"/>
      <x:c r="N20" s="54" t="str"/>
      <x:c r="O20" s="58" t="str">
        <x:v>互联互通标准化成熟度测评方案（2020年版）</x:v>
      </x:c>
    </x:row>
    <x:row r="21">
      <x:c r="A21" s="57" t="str">
        <x:v>互联互通交互服务</x:v>
      </x:c>
      <x:c r="B21" s="54" t="str">
        <x:v>HY-SVC-04</x:v>
      </x:c>
      <x:c r="C21" s="54" t="str">
        <x:v>术语注册、查询和更新服务</x:v>
      </x:c>
      <x:c r="D21" s="54" t="str">
        <x:v>ValueSet/ConceptMap</x:v>
      </x:c>
      <x:c r="E21" s="54" t="str">
        <x:v>接口文档、联调、性能和调用日志</x:v>
      </x:c>
      <x:c r="F21" s="54" t="str">
        <x:v>可用性&gt;=99.9%，幂等、鉴权、审计、错误码通过</x:v>
      </x:c>
      <x:c r="G21" s="54" t="str">
        <x:v>集成/数据服务组</x:v>
      </x:c>
      <x:c r="H21" s="54" t="str">
        <x:v>阶段2</x:v>
      </x:c>
      <x:c r="I21" s="54" t="str">
        <x:v>P0</x:v>
      </x:c>
      <x:c r="J21" s="54" t="str">
        <x:v>待评估</x:v>
      </x:c>
      <x:c r="K21" s="54" t="str">
        <x:v>未开始</x:v>
      </x:c>
      <x:c r="L21" s="67" t="n">
        <x:v>0</x:v>
      </x:c>
      <x:c r="M21" s="54" t="str"/>
      <x:c r="N21" s="54" t="str"/>
      <x:c r="O21" s="58" t="str">
        <x:v>互联互通标准化成熟度测评方案（2020年版）</x:v>
      </x:c>
    </x:row>
    <x:row r="22">
      <x:c r="A22" s="57" t="str">
        <x:v>互联互通交互服务</x:v>
      </x:c>
      <x:c r="B22" s="54" t="str">
        <x:v>HY-SVC-05</x:v>
      </x:c>
      <x:c r="C22" s="54" t="str">
        <x:v>共享文档注册、查询和调阅</x:v>
      </x:c>
      <x:c r="D22" s="54" t="str">
        <x:v>DocumentReference/文档注册库</x:v>
      </x:c>
      <x:c r="E22" s="54" t="str">
        <x:v>接口文档、联调、性能和调用日志</x:v>
      </x:c>
      <x:c r="F22" s="54" t="str">
        <x:v>可用性&gt;=99.9%，幂等、鉴权、审计、错误码通过</x:v>
      </x:c>
      <x:c r="G22" s="54" t="str">
        <x:v>集成/数据服务组</x:v>
      </x:c>
      <x:c r="H22" s="54" t="str">
        <x:v>阶段2</x:v>
      </x:c>
      <x:c r="I22" s="54" t="str">
        <x:v>P0</x:v>
      </x:c>
      <x:c r="J22" s="54" t="str">
        <x:v>待评估</x:v>
      </x:c>
      <x:c r="K22" s="54" t="str">
        <x:v>未开始</x:v>
      </x:c>
      <x:c r="L22" s="67" t="n">
        <x:v>0</x:v>
      </x:c>
      <x:c r="M22" s="54" t="str"/>
      <x:c r="N22" s="54" t="str"/>
      <x:c r="O22" s="58" t="str">
        <x:v>互联互通标准化成熟度测评方案（2020年版）</x:v>
      </x:c>
    </x:row>
    <x:row r="23">
      <x:c r="A23" s="57" t="str">
        <x:v>互联互通交互服务</x:v>
      </x:c>
      <x:c r="B23" s="54" t="str">
        <x:v>HY-SVC-06</x:v>
      </x:c>
      <x:c r="C23" s="54" t="str">
        <x:v>预约相关交互服务</x:v>
      </x:c>
      <x:c r="D23" s="54" t="str">
        <x:v>预约资源、时段和状态</x:v>
      </x:c>
      <x:c r="E23" s="54" t="str">
        <x:v>接口文档、联调、性能和调用日志</x:v>
      </x:c>
      <x:c r="F23" s="54" t="str">
        <x:v>可用性&gt;=99.9%，幂等、鉴权、审计、错误码通过</x:v>
      </x:c>
      <x:c r="G23" s="54" t="str">
        <x:v>集成/数据服务组</x:v>
      </x:c>
      <x:c r="H23" s="54" t="str">
        <x:v>阶段2</x:v>
      </x:c>
      <x:c r="I23" s="54" t="str">
        <x:v>P0</x:v>
      </x:c>
      <x:c r="J23" s="54" t="str">
        <x:v>待评估</x:v>
      </x:c>
      <x:c r="K23" s="54" t="str">
        <x:v>未开始</x:v>
      </x:c>
      <x:c r="L23" s="67" t="n">
        <x:v>0</x:v>
      </x:c>
      <x:c r="M23" s="54" t="str"/>
      <x:c r="N23" s="54" t="str"/>
      <x:c r="O23" s="58" t="str">
        <x:v>互联互通标准化成熟度测评方案（2020年版）</x:v>
      </x:c>
    </x:row>
    <x:row r="24">
      <x:c r="A24" s="57" t="str">
        <x:v>互联互通交互服务</x:v>
      </x:c>
      <x:c r="B24" s="54" t="str">
        <x:v>HY-SVC-07</x:v>
      </x:c>
      <x:c r="C24" s="54" t="str">
        <x:v>状态信息交互服务</x:v>
      </x:c>
      <x:c r="D24" s="54" t="str">
        <x:v>就诊/医嘱/报告/闭环状态事件</x:v>
      </x:c>
      <x:c r="E24" s="54" t="str">
        <x:v>接口文档、联调、性能和调用日志</x:v>
      </x:c>
      <x:c r="F24" s="54" t="str">
        <x:v>可用性&gt;=99.9%，幂等、鉴权、审计、错误码通过</x:v>
      </x:c>
      <x:c r="G24" s="54" t="str">
        <x:v>集成/数据服务组</x:v>
      </x:c>
      <x:c r="H24" s="54" t="str">
        <x:v>阶段2</x:v>
      </x:c>
      <x:c r="I24" s="54" t="str">
        <x:v>P0</x:v>
      </x:c>
      <x:c r="J24" s="54" t="str">
        <x:v>待评估</x:v>
      </x:c>
      <x:c r="K24" s="54" t="str">
        <x:v>未开始</x:v>
      </x:c>
      <x:c r="L24" s="67" t="n">
        <x:v>0</x:v>
      </x:c>
      <x:c r="M24" s="54" t="str"/>
      <x:c r="N24" s="54" t="str"/>
      <x:c r="O24" s="58" t="str">
        <x:v>互联互通标准化成熟度测评方案（2020年版）</x:v>
      </x:c>
    </x:row>
    <x:row r="25">
      <x:c r="A25" s="57" t="str">
        <x:v>互联互通交互服务</x:v>
      </x:c>
      <x:c r="B25" s="54" t="str">
        <x:v>HY-SVC-08</x:v>
      </x:c>
      <x:c r="C25" s="54" t="str">
        <x:v>跨机构身份和文档查询</x:v>
      </x:c>
      <x:c r="D25" s="54" t="str">
        <x:v>区域平台适配和审计</x:v>
      </x:c>
      <x:c r="E25" s="54" t="str">
        <x:v>接口文档、联调、性能和调用日志</x:v>
      </x:c>
      <x:c r="F25" s="54" t="str">
        <x:v>可用性&gt;=99.9%，幂等、鉴权、审计、错误码通过</x:v>
      </x:c>
      <x:c r="G25" s="54" t="str">
        <x:v>集成/数据服务组</x:v>
      </x:c>
      <x:c r="H25" s="54" t="str">
        <x:v>阶段2</x:v>
      </x:c>
      <x:c r="I25" s="54" t="str">
        <x:v>P0</x:v>
      </x:c>
      <x:c r="J25" s="54" t="str">
        <x:v>待评估</x:v>
      </x:c>
      <x:c r="K25" s="54" t="str">
        <x:v>未开始</x:v>
      </x:c>
      <x:c r="L25" s="67" t="n">
        <x:v>0</x:v>
      </x:c>
      <x:c r="M25" s="54" t="str"/>
      <x:c r="N25" s="54" t="str"/>
      <x:c r="O25" s="58" t="str">
        <x:v>互联互通标准化成熟度测评方案（2020年版）</x:v>
      </x:c>
    </x:row>
    <x:row r="26">
      <x:c r="A26" s="57" t="str">
        <x:v>互联互通交互服务</x:v>
      </x:c>
      <x:c r="B26" s="54" t="str">
        <x:v>HY-SVC-09</x:v>
      </x:c>
      <x:c r="C26" s="54" t="str">
        <x:v>消息订阅、重试、死信和补发</x:v>
      </x:c>
      <x:c r="D26" s="54" t="str">
        <x:v>事件总线和补偿控制台</x:v>
      </x:c>
      <x:c r="E26" s="54" t="str">
        <x:v>接口文档、联调、性能和调用日志</x:v>
      </x:c>
      <x:c r="F26" s="54" t="str">
        <x:v>可用性&gt;=99.9%，幂等、鉴权、审计、错误码通过</x:v>
      </x:c>
      <x:c r="G26" s="54" t="str">
        <x:v>集成/数据服务组</x:v>
      </x:c>
      <x:c r="H26" s="54" t="str">
        <x:v>阶段2</x:v>
      </x:c>
      <x:c r="I26" s="54" t="str">
        <x:v>P0</x:v>
      </x:c>
      <x:c r="J26" s="54" t="str">
        <x:v>待评估</x:v>
      </x:c>
      <x:c r="K26" s="54" t="str">
        <x:v>未开始</x:v>
      </x:c>
      <x:c r="L26" s="67" t="n">
        <x:v>0</x:v>
      </x:c>
      <x:c r="M26" s="54" t="str"/>
      <x:c r="N26" s="54" t="str"/>
      <x:c r="O26" s="58" t="str">
        <x:v>互联互通标准化成熟度测评方案（2020年版）</x:v>
      </x:c>
    </x:row>
    <x:row r="27">
      <x:c r="A27" s="57" t="str">
        <x:v>互联互通交互服务</x:v>
      </x:c>
      <x:c r="B27" s="54" t="str">
        <x:v>HY-SVC-10</x:v>
      </x:c>
      <x:c r="C27" s="54" t="str">
        <x:v>接口目录、版本、SLA和访问控制</x:v>
      </x:c>
      <x:c r="D27" s="54" t="str">
        <x:v>API网关和服务治理</x:v>
      </x:c>
      <x:c r="E27" s="54" t="str">
        <x:v>接口文档、联调、性能和调用日志</x:v>
      </x:c>
      <x:c r="F27" s="54" t="str">
        <x:v>可用性&gt;=99.9%，幂等、鉴权、审计、错误码通过</x:v>
      </x:c>
      <x:c r="G27" s="54" t="str">
        <x:v>集成/数据服务组</x:v>
      </x:c>
      <x:c r="H27" s="54" t="str">
        <x:v>阶段2</x:v>
      </x:c>
      <x:c r="I27" s="54" t="str">
        <x:v>P0</x:v>
      </x:c>
      <x:c r="J27" s="54" t="str">
        <x:v>待评估</x:v>
      </x:c>
      <x:c r="K27" s="54" t="str">
        <x:v>未开始</x:v>
      </x:c>
      <x:c r="L27" s="67" t="n">
        <x:v>0</x:v>
      </x:c>
      <x:c r="M27" s="54" t="str"/>
      <x:c r="N27" s="54" t="str"/>
      <x:c r="O27" s="58" t="str">
        <x:v>互联互通标准化成熟度测评方案（2020年版）</x:v>
      </x:c>
    </x:row>
    <x:row r="28">
      <x:c r="A28" s="57" t="str">
        <x:v>平台技术架构</x:v>
      </x:c>
      <x:c r="B28" s="54" t="str">
        <x:v>HY-ARC-01</x:v>
      </x:c>
      <x:c r="C28" s="54" t="str">
        <x:v>平台分层、松耦合、服务化，避免点对点扩散</x:v>
      </x:c>
      <x:c r="D28" s="54" t="str">
        <x:v>集成平台、事件总线、网关和服务注册</x:v>
      </x:c>
      <x:c r="E28" s="54" t="str">
        <x:v>架构、部署、监控和演练报告</x:v>
      </x:c>
      <x:c r="F28" s="54" t="str">
        <x:v>关键服务无单点；RPO&lt;=15分钟、RTO&lt;=2小时（可调整）</x:v>
      </x:c>
      <x:c r="G28" s="54" t="str">
        <x:v>平台架构/运维组</x:v>
      </x:c>
      <x:c r="H28" s="54" t="str">
        <x:v>阶段1-3</x:v>
      </x:c>
      <x:c r="I28" s="54" t="str">
        <x:v>P0</x:v>
      </x:c>
      <x:c r="J28" s="54" t="str">
        <x:v>待评估</x:v>
      </x:c>
      <x:c r="K28" s="54" t="str">
        <x:v>未开始</x:v>
      </x:c>
      <x:c r="L28" s="67" t="n">
        <x:v>0</x:v>
      </x:c>
      <x:c r="M28" s="54" t="str"/>
      <x:c r="N28" s="54" t="str"/>
      <x:c r="O28" s="58" t="str">
        <x:v>互联互通标准化成熟度测评方案（2020年版）</x:v>
      </x:c>
    </x:row>
    <x:row r="29">
      <x:c r="A29" s="57" t="str">
        <x:v>平台技术架构</x:v>
      </x:c>
      <x:c r="B29" s="54" t="str">
        <x:v>HY-ARC-02</x:v>
      </x:c>
      <x:c r="C29" s="54" t="str">
        <x:v>覆盖核心临床和运营系统形成统一底座</x:v>
      </x:c>
      <x:c r="D29" s="54" t="str">
        <x:v>接入清单、资产与接口目录</x:v>
      </x:c>
      <x:c r="E29" s="54" t="str">
        <x:v>架构、部署、监控和演练报告</x:v>
      </x:c>
      <x:c r="F29" s="54" t="str">
        <x:v>关键服务无单点；RPO&lt;=15分钟、RTO&lt;=2小时（可调整）</x:v>
      </x:c>
      <x:c r="G29" s="54" t="str">
        <x:v>平台架构/运维组</x:v>
      </x:c>
      <x:c r="H29" s="54" t="str">
        <x:v>阶段1-3</x:v>
      </x:c>
      <x:c r="I29" s="54" t="str">
        <x:v>P0</x:v>
      </x:c>
      <x:c r="J29" s="54" t="str">
        <x:v>待评估</x:v>
      </x:c>
      <x:c r="K29" s="54" t="str">
        <x:v>未开始</x:v>
      </x:c>
      <x:c r="L29" s="67" t="n">
        <x:v>0</x:v>
      </x:c>
      <x:c r="M29" s="54" t="str"/>
      <x:c r="N29" s="54" t="str"/>
      <x:c r="O29" s="58" t="str">
        <x:v>互联互通标准化成熟度测评方案（2020年版）</x:v>
      </x:c>
    </x:row>
    <x:row r="30">
      <x:c r="A30" s="57" t="str">
        <x:v>平台技术架构</x:v>
      </x:c>
      <x:c r="B30" s="54" t="str">
        <x:v>HY-ARC-03</x:v>
      </x:c>
      <x:c r="C30" s="54" t="str">
        <x:v>关键数据全链路可追溯</x:v>
      </x:c>
      <x:c r="D30" s="54" t="str">
        <x:v>字段级血缘和调用链</x:v>
      </x:c>
      <x:c r="E30" s="54" t="str">
        <x:v>架构、部署、监控和演练报告</x:v>
      </x:c>
      <x:c r="F30" s="54" t="str">
        <x:v>关键服务无单点；RPO&lt;=15分钟、RTO&lt;=2小时（可调整）</x:v>
      </x:c>
      <x:c r="G30" s="54" t="str">
        <x:v>平台架构/运维组</x:v>
      </x:c>
      <x:c r="H30" s="54" t="str">
        <x:v>阶段1-3</x:v>
      </x:c>
      <x:c r="I30" s="54" t="str">
        <x:v>P0</x:v>
      </x:c>
      <x:c r="J30" s="54" t="str">
        <x:v>待评估</x:v>
      </x:c>
      <x:c r="K30" s="54" t="str">
        <x:v>未开始</x:v>
      </x:c>
      <x:c r="L30" s="67" t="n">
        <x:v>0</x:v>
      </x:c>
      <x:c r="M30" s="54" t="str"/>
      <x:c r="N30" s="54" t="str"/>
      <x:c r="O30" s="58" t="str">
        <x:v>互联互通标准化成熟度测评方案（2020年版）</x:v>
      </x:c>
    </x:row>
    <x:row r="31">
      <x:c r="A31" s="57" t="str">
        <x:v>平台技术架构</x:v>
      </x:c>
      <x:c r="B31" s="54" t="str">
        <x:v>HY-ARC-04</x:v>
      </x:c>
      <x:c r="C31" s="54" t="str">
        <x:v>批量、准实时和实时同步并支持补偿</x:v>
      </x:c>
      <x:c r="D31" s="54" t="str">
        <x:v>CDC/ETL/消息和隔离区</x:v>
      </x:c>
      <x:c r="E31" s="54" t="str">
        <x:v>架构、部署、监控和演练报告</x:v>
      </x:c>
      <x:c r="F31" s="54" t="str">
        <x:v>关键服务无单点；RPO&lt;=15分钟、RTO&lt;=2小时（可调整）</x:v>
      </x:c>
      <x:c r="G31" s="54" t="str">
        <x:v>平台架构/运维组</x:v>
      </x:c>
      <x:c r="H31" s="54" t="str">
        <x:v>阶段1-3</x:v>
      </x:c>
      <x:c r="I31" s="54" t="str">
        <x:v>P0</x:v>
      </x:c>
      <x:c r="J31" s="54" t="str">
        <x:v>待评估</x:v>
      </x:c>
      <x:c r="K31" s="54" t="str">
        <x:v>未开始</x:v>
      </x:c>
      <x:c r="L31" s="67" t="n">
        <x:v>0</x:v>
      </x:c>
      <x:c r="M31" s="54" t="str"/>
      <x:c r="N31" s="54" t="str"/>
      <x:c r="O31" s="58" t="str">
        <x:v>互联互通标准化成熟度测评方案（2020年版）</x:v>
      </x:c>
    </x:row>
    <x:row r="32">
      <x:c r="A32" s="57" t="str">
        <x:v>平台技术架构</x:v>
      </x:c>
      <x:c r="B32" s="54" t="str">
        <x:v>HY-ARC-05</x:v>
      </x:c>
      <x:c r="C32" s="54" t="str">
        <x:v>具备高可用、容量、备份和容灾</x:v>
      </x:c>
      <x:c r="D32" s="54" t="str">
        <x:v>集群、备份、RPO/RTO和演练</x:v>
      </x:c>
      <x:c r="E32" s="54" t="str">
        <x:v>架构、部署、监控和演练报告</x:v>
      </x:c>
      <x:c r="F32" s="54" t="str">
        <x:v>关键服务无单点；RPO&lt;=15分钟、RTO&lt;=2小时（可调整）</x:v>
      </x:c>
      <x:c r="G32" s="54" t="str">
        <x:v>平台架构/运维组</x:v>
      </x:c>
      <x:c r="H32" s="54" t="str">
        <x:v>阶段1-3</x:v>
      </x:c>
      <x:c r="I32" s="54" t="str">
        <x:v>P0</x:v>
      </x:c>
      <x:c r="J32" s="54" t="str">
        <x:v>待评估</x:v>
      </x:c>
      <x:c r="K32" s="54" t="str">
        <x:v>未开始</x:v>
      </x:c>
      <x:c r="L32" s="67" t="n">
        <x:v>0</x:v>
      </x:c>
      <x:c r="M32" s="54" t="str"/>
      <x:c r="N32" s="54" t="str"/>
      <x:c r="O32" s="58" t="str">
        <x:v>互联互通标准化成熟度测评方案（2020年版）</x:v>
      </x:c>
    </x:row>
    <x:row r="33">
      <x:c r="A33" s="57" t="str">
        <x:v>应用效果与外部协同</x:v>
      </x:c>
      <x:c r="B33" s="54" t="str">
        <x:v>HY-APP-01</x:v>
      </x:c>
      <x:c r="C33" s="54" t="str">
        <x:v>面向公众形成不少于27项服务功能</x:v>
      </x:c>
      <x:c r="D33" s="54" t="str">
        <x:v>患者服务数据/API目录</x:v>
      </x:c>
      <x:c r="E33" s="54" t="str">
        <x:v>服务清单、演示和调用日志</x:v>
      </x:c>
      <x:c r="F33" s="54" t="str">
        <x:v>按口径逐项可演示可追溯</x:v>
      </x:c>
      <x:c r="G33" s="54" t="str">
        <x:v>患者服务部</x:v>
      </x:c>
      <x:c r="H33" s="54" t="str">
        <x:v>阶段3</x:v>
      </x:c>
      <x:c r="I33" s="54" t="str">
        <x:v>P0</x:v>
      </x:c>
      <x:c r="J33" s="54" t="str">
        <x:v>待评估</x:v>
      </x:c>
      <x:c r="K33" s="54" t="str">
        <x:v>未开始</x:v>
      </x:c>
      <x:c r="L33" s="67" t="n">
        <x:v>0</x:v>
      </x:c>
      <x:c r="M33" s="54" t="str"/>
      <x:c r="N33" s="54" t="str"/>
      <x:c r="O33" s="58" t="str">
        <x:v>互联互通标准化成熟度测评方案（2020年版）</x:v>
      </x:c>
    </x:row>
    <x:row r="34">
      <x:c r="A34" s="57" t="str">
        <x:v>应用效果与外部协同</x:v>
      </x:c>
      <x:c r="B34" s="54" t="str">
        <x:v>HY-APP-02</x:v>
      </x:c>
      <x:c r="C34" s="54" t="str">
        <x:v>面向医疗业务形成不少于30项功能</x:v>
      </x:c>
      <x:c r="D34" s="54" t="str">
        <x:v>CDR、数据服务和闭环</x:v>
      </x:c>
      <x:c r="E34" s="54" t="str">
        <x:v>功能清单和真实运行记录</x:v>
      </x:c>
      <x:c r="F34" s="54" t="str">
        <x:v>逐项有运行与用户使用证据</x:v>
      </x:c>
      <x:c r="G34" s="54" t="str">
        <x:v>医务部/护理部</x:v>
      </x:c>
      <x:c r="H34" s="54" t="str">
        <x:v>阶段3</x:v>
      </x:c>
      <x:c r="I34" s="54" t="str">
        <x:v>P0</x:v>
      </x:c>
      <x:c r="J34" s="54" t="str">
        <x:v>待评估</x:v>
      </x:c>
      <x:c r="K34" s="54" t="str">
        <x:v>未开始</x:v>
      </x:c>
      <x:c r="L34" s="67" t="n">
        <x:v>0</x:v>
      </x:c>
      <x:c r="M34" s="54" t="str"/>
      <x:c r="N34" s="54" t="str"/>
      <x:c r="O34" s="58" t="str">
        <x:v>互联互通标准化成熟度测评方案（2020年版）</x:v>
      </x:c>
    </x:row>
    <x:row r="35">
      <x:c r="A35" s="57" t="str">
        <x:v>应用效果与外部协同</x:v>
      </x:c>
      <x:c r="B35" s="54" t="str">
        <x:v>HY-APP-03</x:v>
      </x:c>
      <x:c r="C35" s="54" t="str">
        <x:v>至少3类重点业务闭环</x:v>
      </x:c>
      <x:c r="D35" s="54" t="str">
        <x:v>闭环引擎和场景包</x:v>
      </x:c>
      <x:c r="E35" s="54" t="str">
        <x:v>闭环实例、超时和指标</x:v>
      </x:c>
      <x:c r="F35" s="54" t="str">
        <x:v>闭环率&gt;=95%，关键节点全留痕</x:v>
      </x:c>
      <x:c r="G35" s="54" t="str">
        <x:v>医务部/护理部</x:v>
      </x:c>
      <x:c r="H35" s="54" t="str">
        <x:v>阶段3</x:v>
      </x:c>
      <x:c r="I35" s="54" t="str">
        <x:v>P0</x:v>
      </x:c>
      <x:c r="J35" s="54" t="str">
        <x:v>待评估</x:v>
      </x:c>
      <x:c r="K35" s="54" t="str">
        <x:v>未开始</x:v>
      </x:c>
      <x:c r="L35" s="67" t="n">
        <x:v>0</x:v>
      </x:c>
      <x:c r="M35" s="54" t="str"/>
      <x:c r="N35" s="54" t="str"/>
      <x:c r="O35" s="58" t="str">
        <x:v>互联互通标准化成熟度测评方案（2020年版）</x:v>
      </x:c>
    </x:row>
    <x:row r="36">
      <x:c r="A36" s="57" t="str">
        <x:v>应用效果与外部协同</x:v>
      </x:c>
      <x:c r="B36" s="54" t="str">
        <x:v>HY-APP-04</x:v>
      </x:c>
      <x:c r="C36" s="54" t="str">
        <x:v>至少4类知识库</x:v>
      </x:c>
      <x:c r="D36" s="54" t="str">
        <x:v>知识/规则平台</x:v>
      </x:c>
      <x:c r="E36" s="54" t="str">
        <x:v>目录、版本、审批和使用记录</x:v>
      </x:c>
      <x:c r="F36" s="54" t="str">
        <x:v>&gt;=4类有Owner、有版本、有调用</x:v>
      </x:c>
      <x:c r="G36" s="54" t="str">
        <x:v>医务部/药学部</x:v>
      </x:c>
      <x:c r="H36" s="54" t="str">
        <x:v>阶段3</x:v>
      </x:c>
      <x:c r="I36" s="54" t="str">
        <x:v>P0</x:v>
      </x:c>
      <x:c r="J36" s="54" t="str">
        <x:v>待评估</x:v>
      </x:c>
      <x:c r="K36" s="54" t="str">
        <x:v>未开始</x:v>
      </x:c>
      <x:c r="L36" s="67" t="n">
        <x:v>0</x:v>
      </x:c>
      <x:c r="M36" s="54" t="str"/>
      <x:c r="N36" s="54" t="str"/>
      <x:c r="O36" s="58" t="str">
        <x:v>互联互通标准化成熟度测评方案（2020年版）</x:v>
      </x:c>
    </x:row>
    <x:row r="37">
      <x:c r="A37" s="57" t="str">
        <x:v>应用效果与外部协同</x:v>
      </x:c>
      <x:c r="B37" s="54" t="str">
        <x:v>HY-APP-05</x:v>
      </x:c>
      <x:c r="C37" s="54" t="str">
        <x:v>至少2类CDSS且不少于30个预警节点</x:v>
      </x:c>
      <x:c r="D37" s="54" t="str">
        <x:v>规则、仿真和反馈</x:v>
      </x:c>
      <x:c r="E37" s="54" t="str">
        <x:v>规则、命中、采纳和效果</x:v>
      </x:c>
      <x:c r="F37" s="54" t="str">
        <x:v>&gt;=2类、&gt;=30节点，可回滚</x:v>
      </x:c>
      <x:c r="G37" s="54" t="str">
        <x:v>医务部</x:v>
      </x:c>
      <x:c r="H37" s="54" t="str">
        <x:v>阶段3</x:v>
      </x:c>
      <x:c r="I37" s="54" t="str">
        <x:v>P0</x:v>
      </x:c>
      <x:c r="J37" s="54" t="str">
        <x:v>待评估</x:v>
      </x:c>
      <x:c r="K37" s="54" t="str">
        <x:v>未开始</x:v>
      </x:c>
      <x:c r="L37" s="67" t="n">
        <x:v>0</x:v>
      </x:c>
      <x:c r="M37" s="54" t="str"/>
      <x:c r="N37" s="54" t="str"/>
      <x:c r="O37" s="58" t="str">
        <x:v>互联互通标准化成熟度测评方案（2020年版）</x:v>
      </x:c>
    </x:row>
    <x:row r="38">
      <x:c r="A38" s="57" t="str">
        <x:v>应用效果与外部协同</x:v>
      </x:c>
      <x:c r="B38" s="54" t="str">
        <x:v>HY-APP-06</x:v>
      </x:c>
      <x:c r="C38" s="54" t="str">
        <x:v>至少3类大数据决策支持</x:v>
      </x:c>
      <x:c r="D38" s="54" t="str">
        <x:v>指标中心和数据集市</x:v>
      </x:c>
      <x:c r="E38" s="54" t="str">
        <x:v>指标口径、报表和使用日志</x:v>
      </x:c>
      <x:c r="F38" s="54" t="str">
        <x:v>&gt;=3类真实运行，指标可追溯</x:v>
      </x:c>
      <x:c r="G38" s="54" t="str">
        <x:v>运营管理部</x:v>
      </x:c>
      <x:c r="H38" s="54" t="str">
        <x:v>阶段3</x:v>
      </x:c>
      <x:c r="I38" s="54" t="str">
        <x:v>P0</x:v>
      </x:c>
      <x:c r="J38" s="54" t="str">
        <x:v>待评估</x:v>
      </x:c>
      <x:c r="K38" s="54" t="str">
        <x:v>未开始</x:v>
      </x:c>
      <x:c r="L38" s="67" t="n">
        <x:v>0</x:v>
      </x:c>
      <x:c r="M38" s="54" t="str"/>
      <x:c r="N38" s="54" t="str"/>
      <x:c r="O38" s="58" t="str">
        <x:v>互联互通标准化成熟度测评方案（2020年版）</x:v>
      </x:c>
    </x:row>
    <x:row r="39">
      <x:c r="A39" s="57" t="str">
        <x:v>应用效果与外部协同</x:v>
      </x:c>
      <x:c r="B39" s="54" t="str">
        <x:v>HY-APP-07</x:v>
      </x:c>
      <x:c r="C39" s="54" t="str">
        <x:v>至少3类科研应用</x:v>
      </x:c>
      <x:c r="D39" s="54" t="str">
        <x:v>科研数据集、队列和审批</x:v>
      </x:c>
      <x:c r="E39" s="54" t="str">
        <x:v>项目、审批和成果</x:v>
      </x:c>
      <x:c r="F39" s="54" t="str">
        <x:v>&gt;=3类真实课题且全审计</x:v>
      </x:c>
      <x:c r="G39" s="54" t="str">
        <x:v>科研部</x:v>
      </x:c>
      <x:c r="H39" s="54" t="str">
        <x:v>阶段4</x:v>
      </x:c>
      <x:c r="I39" s="54" t="str">
        <x:v>P0</x:v>
      </x:c>
      <x:c r="J39" s="54" t="str">
        <x:v>待评估</x:v>
      </x:c>
      <x:c r="K39" s="54" t="str">
        <x:v>未开始</x:v>
      </x:c>
      <x:c r="L39" s="67" t="n">
        <x:v>0</x:v>
      </x:c>
      <x:c r="M39" s="54" t="str"/>
      <x:c r="N39" s="54" t="str"/>
      <x:c r="O39" s="58" t="str">
        <x:v>互联互通标准化成熟度测评方案（2020年版）</x:v>
      </x:c>
    </x:row>
    <x:row r="40">
      <x:c r="A40" s="57" t="str">
        <x:v>应用效果与外部协同</x:v>
      </x:c>
      <x:c r="B40" s="54" t="str">
        <x:v>HY-APP-08</x:v>
      </x:c>
      <x:c r="C40" s="54" t="str">
        <x:v>与上级平台及至少7家外部机构互联</x:v>
      </x:c>
      <x:c r="D40" s="54" t="str">
        <x:v>区域/医联体适配和外联目录</x:v>
      </x:c>
      <x:c r="E40" s="54" t="str">
        <x:v>机构、协议和交换日志</x:v>
      </x:c>
      <x:c r="F40" s="54" t="str">
        <x:v>&gt;=7家连续交换有效数据</x:v>
      </x:c>
      <x:c r="G40" s="54" t="str">
        <x:v>信息管理部</x:v>
      </x:c>
      <x:c r="H40" s="54" t="str">
        <x:v>阶段3</x:v>
      </x:c>
      <x:c r="I40" s="54" t="str">
        <x:v>P0</x:v>
      </x:c>
      <x:c r="J40" s="54" t="str">
        <x:v>待评估</x:v>
      </x:c>
      <x:c r="K40" s="54" t="str">
        <x:v>未开始</x:v>
      </x:c>
      <x:c r="L40" s="67" t="n">
        <x:v>0</x:v>
      </x:c>
      <x:c r="M40" s="54" t="str"/>
      <x:c r="N40" s="54" t="str"/>
      <x:c r="O40" s="58" t="str">
        <x:v>互联互通标准化成熟度测评方案（2020年版）</x:v>
      </x:c>
    </x:row>
    <x:row r="41">
      <x:c r="A41" s="57" t="str">
        <x:v>应用效果与外部协同</x:v>
      </x:c>
      <x:c r="B41" s="54" t="str">
        <x:v>HY-APP-09</x:v>
      </x:c>
      <x:c r="C41" s="54" t="str">
        <x:v>接入不少于18个医疗系统和10个运营系统</x:v>
      </x:c>
      <x:c r="D41" s="54" t="str">
        <x:v>接入台账与覆盖看板</x:v>
      </x:c>
      <x:c r="E41" s="54" t="str">
        <x:v>系统、数据量和服务量</x:v>
      </x:c>
      <x:c r="F41" s="54" t="str">
        <x:v>医疗&gt;=18、运营&gt;=10且支撑实际应用</x:v>
      </x:c>
      <x:c r="G41" s="54" t="str">
        <x:v>信息管理部</x:v>
      </x:c>
      <x:c r="H41" s="54" t="str">
        <x:v>阶段2-3</x:v>
      </x:c>
      <x:c r="I41" s="54" t="str">
        <x:v>P0</x:v>
      </x:c>
      <x:c r="J41" s="54" t="str">
        <x:v>待评估</x:v>
      </x:c>
      <x:c r="K41" s="54" t="str">
        <x:v>未开始</x:v>
      </x:c>
      <x:c r="L41" s="67" t="n">
        <x:v>0</x:v>
      </x:c>
      <x:c r="M41" s="54" t="str"/>
      <x:c r="N41" s="54" t="str"/>
      <x:c r="O41" s="58" t="str">
        <x:v>互联互通标准化成熟度测评方案（2020年版）</x:v>
      </x:c>
    </x:row>
    <x:row r="42">
      <x:c r="A42" s="57" t="str">
        <x:v>安全与运行保障</x:v>
      </x:c>
      <x:c r="B42" s="54" t="str">
        <x:v>HY-SEC-01</x:v>
      </x:c>
      <x:c r="C42" s="54" t="str">
        <x:v>分类分级、最小权限、敏感字段脱敏和用途控制</x:v>
      </x:c>
      <x:c r="D42" s="54" t="str">
        <x:v>分类分级库、RBAC/ABAC、脱敏</x:v>
      </x:c>
      <x:c r="E42" s="54" t="str">
        <x:v>清单、矩阵和测试</x:v>
      </x:c>
      <x:c r="F42" s="54" t="str">
        <x:v>敏感字段无越权明文，权限定期复核</x:v>
      </x:c>
      <x:c r="G42" s="54" t="str">
        <x:v>网安办</x:v>
      </x:c>
      <x:c r="H42" s="54" t="str">
        <x:v>阶段1</x:v>
      </x:c>
      <x:c r="I42" s="54" t="str">
        <x:v>P0</x:v>
      </x:c>
      <x:c r="J42" s="54" t="str">
        <x:v>待评估</x:v>
      </x:c>
      <x:c r="K42" s="54" t="str">
        <x:v>未开始</x:v>
      </x:c>
      <x:c r="L42" s="67" t="n">
        <x:v>0</x:v>
      </x:c>
      <x:c r="M42" s="54" t="str"/>
      <x:c r="N42" s="54" t="str"/>
      <x:c r="O42" s="58" t="str">
        <x:v>互联互通标准化成熟度测评方案（2020年版）</x:v>
      </x:c>
    </x:row>
    <x:row r="43">
      <x:c r="A43" s="57" t="str">
        <x:v>安全与运行保障</x:v>
      </x:c>
      <x:c r="B43" s="54" t="str">
        <x:v>HY-SEC-02</x:v>
      </x:c>
      <x:c r="C43" s="54" t="str">
        <x:v>患者数据查询、导出、合并拆分等高风险操作全审计</x:v>
      </x:c>
      <x:c r="D43" s="54" t="str">
        <x:v>审计、导出审批和水印</x:v>
      </x:c>
      <x:c r="E43" s="54" t="str">
        <x:v>日志、审批和告警</x:v>
      </x:c>
      <x:c r="F43" s="54" t="str">
        <x:v>高风险操作留痕100%</x:v>
      </x:c>
      <x:c r="G43" s="54" t="str">
        <x:v>网安办</x:v>
      </x:c>
      <x:c r="H43" s="54" t="str">
        <x:v>阶段1</x:v>
      </x:c>
      <x:c r="I43" s="54" t="str">
        <x:v>P0</x:v>
      </x:c>
      <x:c r="J43" s="54" t="str">
        <x:v>待评估</x:v>
      </x:c>
      <x:c r="K43" s="54" t="str">
        <x:v>未开始</x:v>
      </x:c>
      <x:c r="L43" s="67" t="n">
        <x:v>0</x:v>
      </x:c>
      <x:c r="M43" s="54" t="str"/>
      <x:c r="N43" s="54" t="str"/>
      <x:c r="O43" s="58" t="str">
        <x:v>互联互通标准化成熟度测评方案（2020年版）</x:v>
      </x:c>
    </x:row>
    <x:row r="44">
      <x:c r="A44" s="57" t="str">
        <x:v>安全与运行保障</x:v>
      </x:c>
      <x:c r="B44" s="54" t="str">
        <x:v>HY-SEC-03</x:v>
      </x:c>
      <x:c r="C44" s="54" t="str">
        <x:v>网络、主机、数据库、应用和接口纵深防护</x:v>
      </x:c>
      <x:c r="D44" s="54" t="str">
        <x:v>安全基线、API安全和密钥管理</x:v>
      </x:c>
      <x:c r="E44" s="54" t="str">
        <x:v>扫描、测评和整改</x:v>
      </x:c>
      <x:c r="F44" s="54" t="str">
        <x:v>高危漏洞清零，证书按期轮换</x:v>
      </x:c>
      <x:c r="G44" s="54" t="str">
        <x:v>网安办/运维</x:v>
      </x:c>
      <x:c r="H44" s="54" t="str">
        <x:v>阶段1-3</x:v>
      </x:c>
      <x:c r="I44" s="54" t="str">
        <x:v>P0</x:v>
      </x:c>
      <x:c r="J44" s="54" t="str">
        <x:v>待评估</x:v>
      </x:c>
      <x:c r="K44" s="54" t="str">
        <x:v>未开始</x:v>
      </x:c>
      <x:c r="L44" s="67" t="n">
        <x:v>0</x:v>
      </x:c>
      <x:c r="M44" s="54" t="str"/>
      <x:c r="N44" s="54" t="str"/>
      <x:c r="O44" s="58" t="str">
        <x:v>互联互通标准化成熟度测评方案（2020年版）</x:v>
      </x:c>
    </x:row>
    <x:row r="45">
      <x:c r="A45" s="59" t="str">
        <x:v>安全与运行保障</x:v>
      </x:c>
      <x:c r="B45" s="60" t="str">
        <x:v>HY-SEC-04</x:v>
      </x:c>
      <x:c r="C45" s="60" t="str">
        <x:v>数据安全事件响应、备份恢复和容灾演练</x:v>
      </x:c>
      <x:c r="D45" s="60" t="str">
        <x:v>预案、备份和恢复编排</x:v>
      </x:c>
      <x:c r="E45" s="60" t="str">
        <x:v>预案和演练报告</x:v>
      </x:c>
      <x:c r="F45" s="60" t="str">
        <x:v>关键数据季度恢复验证</x:v>
      </x:c>
      <x:c r="G45" s="60" t="str">
        <x:v>网安办/运维</x:v>
      </x:c>
      <x:c r="H45" s="60" t="str">
        <x:v>阶段3</x:v>
      </x:c>
      <x:c r="I45" s="60" t="str">
        <x:v>P0</x:v>
      </x:c>
      <x:c r="J45" s="60" t="str">
        <x:v>待评估</x:v>
      </x:c>
      <x:c r="K45" s="60" t="str">
        <x:v>未开始</x:v>
      </x:c>
      <x:c r="L45" s="68" t="n">
        <x:v>0</x:v>
      </x:c>
      <x:c r="M45" s="60" t="str"/>
      <x:c r="N45" s="60" t="str"/>
      <x:c r="O45" s="61" t="str">
        <x:v>互联互通标准化成熟度测评方案（2020年版）</x:v>
      </x:c>
    </x:row>
  </x:sheetData>
  <x:mergeCells>
    <x:mergeCell ref="A1:O1"/>
    <x:mergeCell ref="A2:O2"/>
  </x:mergeCells>
  <x:conditionalFormatting sqref="L5:L4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{CB9FE3EA-A102-7AF6-A244-5B0091994A61}</x14:id>
        </x:ext>
      </x:extLst>
    </x:cfRule>
  </x:conditionalFormatting>
  <x:conditionalFormatting sqref="K5:K45">
    <x:cfRule type="expression" dxfId="0" priority="2">
      <x:formula>K5="已完成"</x:formula>
    </x:cfRule>
    <x:cfRule type="expression" dxfId="1" priority="3">
      <x:formula>K5="进行中"</x:formula>
    </x:cfRule>
    <x:cfRule type="expression" dxfId="2" priority="4">
      <x:formula>K5="阻塞"</x:formula>
    </x:cfRule>
    <x:cfRule type="expression" dxfId="3" priority="5">
      <x:formula>K5="未开始"</x:formula>
    </x:cfRule>
  </x:conditionalFormatting>
  <x:dataValidations count="2">
    <x:dataValidation type="list" sqref="J5:J45">
      <x:formula1>"无差距,轻微,中等,重大,待评估"</x:formula1>
    </x:dataValidation>
    <x:dataValidation type="list" sqref="K5:K45">
      <x:formula1>"未开始,进行中,已完成,阻塞,不适用"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c98b6646d9464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B9FE3EA-A102-7AF6-A244-5B0091994A61}">
            <x14:dataBar gradient="1">
              <x14:cfvo type="min"/>
              <x14:cfvo type="max"/>
              <x14:fillColor rgb="FF5B9BD5"/>
            </x14:dataBar>
          </x14:cfRule>
          <xm:sqref>L5:L45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40" hidden="0" customWidth="1"/>
    <x:col min="4" max="4" width="36" hidden="0" customWidth="1"/>
    <x:col min="5" max="5" width="38" hidden="0" customWidth="1"/>
    <x:col min="6" max="6" width="18" hidden="0" customWidth="1"/>
    <x:col min="7" max="7" width="12" hidden="0" customWidth="1"/>
    <x:col min="8" max="8" width="28" hidden="0" customWidth="1"/>
    <x:col min="9" max="9" width="36" hidden="0" customWidth="1"/>
    <x:col min="10" max="10" width="12" hidden="0" customWidth="1"/>
    <x:col min="11" max="11" width="34" hidden="0" customWidth="1"/>
    <x:col min="12" max="12" width="42" hidden="0" customWidth="1"/>
  </x:cols>
  <x:sheetData>
    <x:row r="1" ht="30" customHeight="1">
      <x:c r="A1" s="5" t="str">
        <x:v>电子病历六级十类工作角色建设映射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2" t="str">
        <x:v>以“全流程医疗数据闭环管理、高级医疗决策支持”为主线，申报以当年度评价细则为准。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34" t="str">
        <x:v>序号</x:v>
      </x:c>
      <x:c r="B4" s="35" t="str">
        <x:v>工作角色</x:v>
      </x:c>
      <x:c r="C4" s="35" t="str">
        <x:v>六级建设目标</x:v>
      </x:c>
      <x:c r="D4" s="35" t="str">
        <x:v>数据治理支撑能力</x:v>
      </x:c>
      <x:c r="E4" s="35" t="str">
        <x:v>核心验收口径</x:v>
      </x:c>
      <x:c r="F4" s="35" t="str">
        <x:v>主要责任部门</x:v>
      </x:c>
      <x:c r="G4" s="35" t="str">
        <x:v>阶段</x:v>
      </x:c>
      <x:c r="H4" s="35" t="str">
        <x:v>关键系统</x:v>
      </x:c>
      <x:c r="I4" s="35" t="str">
        <x:v>治理对象</x:v>
      </x:c>
      <x:c r="J4" s="35" t="str">
        <x:v>状态</x:v>
      </x:c>
      <x:c r="K4" s="35" t="str">
        <x:v>证据链接</x:v>
      </x:c>
      <x:c r="L4" s="36" t="str">
        <x:v>说明</x:v>
      </x:c>
    </x:row>
    <x:row r="5">
      <x:c r="A5" s="57" t="n">
        <x:v>1</x:v>
      </x:c>
      <x:c r="B5" s="54" t="str">
        <x:v>病房医师</x:v>
      </x:c>
      <x:c r="C5" s="54" t="str">
        <x:v>病房医嘱、病历、会诊、转科、手术和出院全程共享与智能决策</x:v>
      </x:c>
      <x:c r="D5" s="54" t="str">
        <x:v>医嘱闭环、病历质控、会诊/转科闭环、围术期CDSS</x:v>
      </x:c>
      <x:c r="E5" s="54" t="str">
        <x:v>患者-就诊-医嘱-诊断-结果一致，规则到结局可追踪</x:v>
      </x:c>
      <x:c r="F5" s="54" t="str">
        <x:v>医务部</x:v>
      </x:c>
      <x:c r="G5" s="54" t="str">
        <x:v>阶段2-4</x:v>
      </x:c>
      <x:c r="H5" s="54" t="str">
        <x:v>HIS/EMR/CDR/闭环平台</x:v>
      </x:c>
      <x:c r="I5" s="54" t="str">
        <x:v>患者、就诊、人员、项目、临床事实、规则</x:v>
      </x:c>
      <x:c r="J5" s="54" t="str">
        <x:v>未开始</x:v>
      </x:c>
      <x:c r="K5" s="54" t="str"/>
      <x:c r="L5" s="58" t="str">
        <x:v>以全流程闭环、高级决策支持和信息利用为建设主线；申报以当年度官方细则为准</x:v>
      </x:c>
    </x:row>
    <x:row r="6">
      <x:c r="A6" s="57" t="n">
        <x:v>2</x:v>
      </x:c>
      <x:c r="B6" s="54" t="str">
        <x:v>病房护士</x:v>
      </x:c>
      <x:c r="C6" s="54" t="str">
        <x:v>护理评估、计划、执行、交班、给药、标本和输血闭环</x:v>
      </x:c>
      <x:c r="D6" s="54" t="str">
        <x:v>移动护理、给药/标本/输血闭环和风险预警</x:v>
      </x:c>
      <x:c r="E6" s="54" t="str">
        <x:v>主数据统一，关键节点扫码/签名/时间戳完整</x:v>
      </x:c>
      <x:c r="F6" s="54" t="str">
        <x:v>护理部</x:v>
      </x:c>
      <x:c r="G6" s="54" t="str">
        <x:v>阶段2-4</x:v>
      </x:c>
      <x:c r="H6" s="54" t="str">
        <x:v>HIS/EMR/CDR/闭环平台</x:v>
      </x:c>
      <x:c r="I6" s="54" t="str">
        <x:v>患者、就诊、人员、项目、临床事实、规则</x:v>
      </x:c>
      <x:c r="J6" s="54" t="str">
        <x:v>未开始</x:v>
      </x:c>
      <x:c r="K6" s="54" t="str"/>
      <x:c r="L6" s="58" t="str">
        <x:v>以全流程闭环、高级决策支持和信息利用为建设主线；申报以当年度官方细则为准</x:v>
      </x:c>
    </x:row>
    <x:row r="7">
      <x:c r="A7" s="57" t="n">
        <x:v>3</x:v>
      </x:c>
      <x:c r="B7" s="54" t="str">
        <x:v>门诊医师</x:v>
      </x:c>
      <x:c r="C7" s="54" t="str">
        <x:v>纵向视图、处方和检查检验决策、转诊随访</x:v>
      </x:c>
      <x:c r="D7" s="54" t="str">
        <x:v>患者360、合理用药、适宜性和随访闭环</x:v>
      </x:c>
      <x:c r="E7" s="54" t="str">
        <x:v>跨次就诊可用；规则有反馈与效果</x:v>
      </x:c>
      <x:c r="F7" s="54" t="str">
        <x:v>门诊部/医务部</x:v>
      </x:c>
      <x:c r="G7" s="54" t="str">
        <x:v>阶段2-4</x:v>
      </x:c>
      <x:c r="H7" s="54" t="str">
        <x:v>HIS/EMR/CDR/闭环平台</x:v>
      </x:c>
      <x:c r="I7" s="54" t="str">
        <x:v>患者、就诊、人员、项目、临床事实、规则</x:v>
      </x:c>
      <x:c r="J7" s="54" t="str">
        <x:v>未开始</x:v>
      </x:c>
      <x:c r="K7" s="54" t="str"/>
      <x:c r="L7" s="58" t="str">
        <x:v>以全流程闭环、高级决策支持和信息利用为建设主线；申报以当年度官方细则为准</x:v>
      </x:c>
    </x:row>
    <x:row r="8">
      <x:c r="A8" s="57" t="n">
        <x:v>4</x:v>
      </x:c>
      <x:c r="B8" s="54" t="str">
        <x:v>检查科室</x:v>
      </x:c>
      <x:c r="C8" s="54" t="str">
        <x:v>申请、预约、准备、执行、报告、审核和回传</x:v>
      </x:c>
      <x:c r="D8" s="54" t="str">
        <x:v>检查闭环、影像索引和危急结果通知</x:v>
      </x:c>
      <x:c r="E8" s="54" t="str">
        <x:v>申请报告一一对应，状态责任完整</x:v>
      </x:c>
      <x:c r="F8" s="54" t="str">
        <x:v>医务部/检查科室</x:v>
      </x:c>
      <x:c r="G8" s="54" t="str">
        <x:v>阶段2-4</x:v>
      </x:c>
      <x:c r="H8" s="54" t="str">
        <x:v>HIS/EMR/CDR/闭环平台</x:v>
      </x:c>
      <x:c r="I8" s="54" t="str">
        <x:v>患者、就诊、人员、项目、临床事实、规则</x:v>
      </x:c>
      <x:c r="J8" s="54" t="str">
        <x:v>未开始</x:v>
      </x:c>
      <x:c r="K8" s="54" t="str"/>
      <x:c r="L8" s="58" t="str">
        <x:v>以全流程闭环、高级决策支持和信息利用为建设主线；申报以当年度官方细则为准</x:v>
      </x:c>
    </x:row>
    <x:row r="9">
      <x:c r="A9" s="57" t="n">
        <x:v>5</x:v>
      </x:c>
      <x:c r="B9" s="54" t="str">
        <x:v>检验处理</x:v>
      </x:c>
      <x:c r="C9" s="54" t="str">
        <x:v>申请、采集、转运、签收、检测、审核和危急值</x:v>
      </x:c>
      <x:c r="D9" s="54" t="str">
        <x:v>标本闭环、危急值、结果标准化</x:v>
      </x:c>
      <x:c r="E9" s="54" t="str">
        <x:v>标本可追溯；单位、参考范围和值域统一</x:v>
      </x:c>
      <x:c r="F9" s="54" t="str">
        <x:v>检验科</x:v>
      </x:c>
      <x:c r="G9" s="54" t="str">
        <x:v>阶段2-4</x:v>
      </x:c>
      <x:c r="H9" s="54" t="str">
        <x:v>HIS/EMR/CDR/闭环平台</x:v>
      </x:c>
      <x:c r="I9" s="54" t="str">
        <x:v>患者、就诊、人员、项目、临床事实、规则</x:v>
      </x:c>
      <x:c r="J9" s="54" t="str">
        <x:v>未开始</x:v>
      </x:c>
      <x:c r="K9" s="54" t="str"/>
      <x:c r="L9" s="58" t="str">
        <x:v>以全流程闭环、高级决策支持和信息利用为建设主线；申报以当年度官方细则为准</x:v>
      </x:c>
    </x:row>
    <x:row r="10">
      <x:c r="A10" s="57" t="n">
        <x:v>6</x:v>
      </x:c>
      <x:c r="B10" s="54" t="str">
        <x:v>治疗处理</x:v>
      </x:c>
      <x:c r="C10" s="54" t="str">
        <x:v>治疗申请、排程、执行、记录、终止和效果评价</x:v>
      </x:c>
      <x:c r="D10" s="54" t="str">
        <x:v>治疗执行闭环和专科流程</x:v>
      </x:c>
      <x:c r="E10" s="54" t="str">
        <x:v>状态、执行、异常和效果反馈完整</x:v>
      </x:c>
      <x:c r="F10" s="54" t="str">
        <x:v>医务部/治疗科室</x:v>
      </x:c>
      <x:c r="G10" s="54" t="str">
        <x:v>阶段2-4</x:v>
      </x:c>
      <x:c r="H10" s="54" t="str">
        <x:v>HIS/EMR/CDR/闭环平台</x:v>
      </x:c>
      <x:c r="I10" s="54" t="str">
        <x:v>患者、就诊、人员、项目、临床事实、规则</x:v>
      </x:c>
      <x:c r="J10" s="54" t="str">
        <x:v>未开始</x:v>
      </x:c>
      <x:c r="K10" s="54" t="str"/>
      <x:c r="L10" s="58" t="str">
        <x:v>以全流程闭环、高级决策支持和信息利用为建设主线；申报以当年度官方细则为准</x:v>
      </x:c>
    </x:row>
    <x:row r="11">
      <x:c r="A11" s="57" t="n">
        <x:v>7</x:v>
      </x:c>
      <x:c r="B11" s="54" t="str">
        <x:v>医疗保障</x:v>
      </x:c>
      <x:c r="C11" s="54" t="str">
        <x:v>药事、医保、感染、输血、手术安全和耗材监管</x:v>
      </x:c>
      <x:c r="D11" s="54" t="str">
        <x:v>合理用药、医保、院感、输血、植入物闭环</x:v>
      </x:c>
      <x:c r="E11" s="54" t="str">
        <x:v>规则版本化，风险到整改可审计</x:v>
      </x:c>
      <x:c r="F11" s="54" t="str">
        <x:v>质评/药学/医保/院感</x:v>
      </x:c>
      <x:c r="G11" s="54" t="str">
        <x:v>阶段2-4</x:v>
      </x:c>
      <x:c r="H11" s="54" t="str">
        <x:v>HIS/EMR/CDR/闭环平台</x:v>
      </x:c>
      <x:c r="I11" s="54" t="str">
        <x:v>患者、就诊、人员、项目、临床事实、规则</x:v>
      </x:c>
      <x:c r="J11" s="54" t="str">
        <x:v>未开始</x:v>
      </x:c>
      <x:c r="K11" s="54" t="str"/>
      <x:c r="L11" s="58" t="str">
        <x:v>以全流程闭环、高级决策支持和信息利用为建设主线；申报以当年度官方细则为准</x:v>
      </x:c>
    </x:row>
    <x:row r="12">
      <x:c r="A12" s="57" t="n">
        <x:v>8</x:v>
      </x:c>
      <x:c r="B12" s="54" t="str">
        <x:v>病历管理</x:v>
      </x:c>
      <x:c r="C12" s="54" t="str">
        <x:v>结构化、完整性、时效、签名、归档、借阅和首页质量</x:v>
      </x:c>
      <x:c r="D12" s="54" t="str">
        <x:v>病历质控、共享文档和归档版本</x:v>
      </x:c>
      <x:c r="E12" s="54" t="str">
        <x:v>文书首页一致；归档后修改严格审批</x:v>
      </x:c>
      <x:c r="F12" s="54" t="str">
        <x:v>病案室/质评部</x:v>
      </x:c>
      <x:c r="G12" s="54" t="str">
        <x:v>阶段2-4</x:v>
      </x:c>
      <x:c r="H12" s="54" t="str">
        <x:v>HIS/EMR/CDR/闭环平台</x:v>
      </x:c>
      <x:c r="I12" s="54" t="str">
        <x:v>患者、就诊、人员、项目、临床事实、规则</x:v>
      </x:c>
      <x:c r="J12" s="54" t="str">
        <x:v>未开始</x:v>
      </x:c>
      <x:c r="K12" s="54" t="str"/>
      <x:c r="L12" s="58" t="str">
        <x:v>以全流程闭环、高级决策支持和信息利用为建设主线；申报以当年度官方细则为准</x:v>
      </x:c>
    </x:row>
    <x:row r="13">
      <x:c r="A13" s="57" t="n">
        <x:v>9</x:v>
      </x:c>
      <x:c r="B13" s="54" t="str">
        <x:v>电子病历基础</x:v>
      </x:c>
      <x:c r="C13" s="54" t="str">
        <x:v>患者、组织、人员、术语、模型、接口、安全和可靠性统一</x:v>
      </x:c>
      <x:c r="D13" s="54" t="str">
        <x:v>MDM、标准、CDR、集成、服务和审计</x:v>
      </x:c>
      <x:c r="E13" s="54" t="str">
        <x:v>基础数据一处维护多处使用；关键服务高可用</x:v>
      </x:c>
      <x:c r="F13" s="54" t="str">
        <x:v>信息管理部</x:v>
      </x:c>
      <x:c r="G13" s="54" t="str">
        <x:v>阶段2-4</x:v>
      </x:c>
      <x:c r="H13" s="54" t="str">
        <x:v>HIS/EMR/CDR/闭环平台</x:v>
      </x:c>
      <x:c r="I13" s="54" t="str">
        <x:v>患者、就诊、人员、项目、临床事实、规则</x:v>
      </x:c>
      <x:c r="J13" s="54" t="str">
        <x:v>未开始</x:v>
      </x:c>
      <x:c r="K13" s="54" t="str"/>
      <x:c r="L13" s="58" t="str">
        <x:v>以全流程闭环、高级决策支持和信息利用为建设主线；申报以当年度官方细则为准</x:v>
      </x:c>
    </x:row>
    <x:row r="14">
      <x:c r="A14" s="59" t="n">
        <x:v>10</x:v>
      </x:c>
      <x:c r="B14" s="60" t="str">
        <x:v>信息利用</x:v>
      </x:c>
      <x:c r="C14" s="60" t="str">
        <x:v>临床、管理、科研和患者服务的分析、CDSS和数据产品</x:v>
      </x:c>
      <x:c r="D14" s="60" t="str">
        <x:v>指标中心、临床数据产品、科研队列和AI特征</x:v>
      </x:c>
      <x:c r="E14" s="60" t="str">
        <x:v>指标口径统一；数据产品有Owner、SLA和审计</x:v>
      </x:c>
      <x:c r="F14" s="60" t="str">
        <x:v>治理办/运营/科研</x:v>
      </x:c>
      <x:c r="G14" s="60" t="str">
        <x:v>阶段2-4</x:v>
      </x:c>
      <x:c r="H14" s="60" t="str">
        <x:v>HIS/EMR/CDR/闭环平台</x:v>
      </x:c>
      <x:c r="I14" s="60" t="str">
        <x:v>患者、就诊、人员、项目、临床事实、规则</x:v>
      </x:c>
      <x:c r="J14" s="60" t="str">
        <x:v>未开始</x:v>
      </x:c>
      <x:c r="K14" s="60" t="str"/>
      <x:c r="L14" s="61" t="str">
        <x:v>以全流程闭环、高级决策支持和信息利用为建设主线；申报以当年度官方细则为准</x:v>
      </x:c>
    </x:row>
  </x:sheetData>
  <x:mergeCells>
    <x:mergeCell ref="A1:L1"/>
    <x:mergeCell ref="A2:L2"/>
  </x:mergeCells>
  <x:conditionalFormatting sqref="J5:J14">
    <x:cfRule type="expression" dxfId="4" priority="1">
      <x:formula>J5="已完成"</x:formula>
    </x:cfRule>
    <x:cfRule type="expression" dxfId="5" priority="2">
      <x:formula>J5="进行中"</x:formula>
    </x:cfRule>
    <x:cfRule type="expression" dxfId="6" priority="3">
      <x:formula>J5="阻塞"</x:formula>
    </x:cfRule>
    <x:cfRule type="expression" dxfId="7" priority="4">
      <x:formula>J5="未开始"</x:formula>
    </x:cfRule>
  </x:conditionalFormatting>
  <x:dataValidations count="1">
    <x:dataValidation type="list" sqref="J5:J14">
      <x:formula1>"未开始,进行中,已完成,阻塞,不适用"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83a61be40e41a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5" hidden="0" customWidth="1"/>
    <x:col min="4" max="4" width="35" hidden="0" customWidth="1"/>
    <x:col min="5" max="5" width="28" hidden="0" customWidth="1"/>
    <x:col min="6" max="6" width="22" hidden="0" customWidth="1"/>
    <x:col min="7" max="7" width="10" hidden="0" customWidth="1"/>
    <x:col min="8" max="8" width="12" hidden="0" customWidth="1"/>
    <x:col min="9" max="9" width="14" hidden="0" customWidth="1"/>
    <x:col min="10" max="10" width="28" hidden="0" customWidth="1"/>
    <x:col min="11" max="11" width="34" hidden="0" customWidth="1"/>
  </x:cols>
  <x:sheetData>
    <x:row r="1" ht="30" customHeight="1">
      <x:c r="A1" s="5" t="str">
        <x:v>电子病历六级临床闭环场景台账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12" t="str">
        <x:v>每个闭环必须定义状态机、责任角色、时间戳、SLA、异常分支、升级、补偿和结局指标。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34" t="str">
        <x:v>编号</x:v>
      </x:c>
      <x:c r="B4" s="35" t="str">
        <x:v>闭环场景</x:v>
      </x:c>
      <x:c r="C4" s="35" t="str">
        <x:v>核心流程</x:v>
      </x:c>
      <x:c r="D4" s="35" t="str">
        <x:v>关键主数据/标准</x:v>
      </x:c>
      <x:c r="E4" s="35" t="str">
        <x:v>核心指标</x:v>
      </x:c>
      <x:c r="F4" s="35" t="str">
        <x:v>Owner</x:v>
      </x:c>
      <x:c r="G4" s="35" t="str">
        <x:v>优先级</x:v>
      </x:c>
      <x:c r="H4" s="35" t="str">
        <x:v>状态</x:v>
      </x:c>
      <x:c r="I4" s="35" t="str">
        <x:v>关键节点完整率</x:v>
      </x:c>
      <x:c r="J4" s="35" t="str">
        <x:v>超时升级规则</x:v>
      </x:c>
      <x:c r="K4" s="36" t="str">
        <x:v>证据链接</x:v>
      </x:c>
    </x:row>
    <x:row r="5">
      <x:c r="A5" s="57" t="str">
        <x:v>CL01</x:v>
      </x:c>
      <x:c r="B5" s="54" t="str">
        <x:v>医嘱与给药闭环</x:v>
      </x:c>
      <x:c r="C5" s="54" t="str">
        <x:v>开立-审核-配药-核对-执行-观察-停止</x:v>
      </x:c>
      <x:c r="D5" s="54" t="str">
        <x:v>患者/人员/药品/医嘱/途径/频次</x:v>
      </x:c>
      <x:c r="E5" s="54" t="str">
        <x:v>执行完成率、扫码率、异常时长</x:v>
      </x:c>
      <x:c r="F5" s="54" t="str">
        <x:v>护理部/药学部</x:v>
      </x:c>
      <x:c r="G5" s="54" t="str">
        <x:v>P0</x:v>
      </x:c>
      <x:c r="H5" s="54" t="str">
        <x:v>未开始</x:v>
      </x:c>
      <x:c r="I5" s="67" t="n">
        <x:v>0</x:v>
      </x:c>
      <x:c r="J5" s="54" t="str">
        <x:v>待配置</x:v>
      </x:c>
      <x:c r="K5" s="58" t="str"/>
    </x:row>
    <x:row r="6">
      <x:c r="A6" s="57" t="str">
        <x:v>CL02</x:v>
      </x:c>
      <x:c r="B6" s="54" t="str">
        <x:v>检验标本闭环</x:v>
      </x:c>
      <x:c r="C6" s="54" t="str">
        <x:v>申请-采集-条码-转运-签收-检测-审核-结果</x:v>
      </x:c>
      <x:c r="D6" s="54" t="str">
        <x:v>检验项目/标本/科室/人员/患者</x:v>
      </x:c>
      <x:c r="E6" s="54" t="str">
        <x:v>可追溯率、退样率、TAT</x:v>
      </x:c>
      <x:c r="F6" s="54" t="str">
        <x:v>检验科/护理部</x:v>
      </x:c>
      <x:c r="G6" s="54" t="str">
        <x:v>P0</x:v>
      </x:c>
      <x:c r="H6" s="54" t="str">
        <x:v>未开始</x:v>
      </x:c>
      <x:c r="I6" s="67" t="n">
        <x:v>0</x:v>
      </x:c>
      <x:c r="J6" s="54" t="str">
        <x:v>待配置</x:v>
      </x:c>
      <x:c r="K6" s="58" t="str"/>
    </x:row>
    <x:row r="7">
      <x:c r="A7" s="57" t="str">
        <x:v>CL03</x:v>
      </x:c>
      <x:c r="B7" s="54" t="str">
        <x:v>危急值闭环</x:v>
      </x:c>
      <x:c r="C7" s="54" t="str">
        <x:v>识别-发布-接收-确认-处置-复测-评价</x:v>
      </x:c>
      <x:c r="D7" s="54" t="str">
        <x:v>危急规则/人员/科室/患者/结果</x:v>
      </x:c>
      <x:c r="E7" s="54" t="str">
        <x:v>通知及时率、确认时长、闭环率</x:v>
      </x:c>
      <x:c r="F7" s="54" t="str">
        <x:v>医务部/检验检查</x:v>
      </x:c>
      <x:c r="G7" s="54" t="str">
        <x:v>P0</x:v>
      </x:c>
      <x:c r="H7" s="54" t="str">
        <x:v>未开始</x:v>
      </x:c>
      <x:c r="I7" s="67" t="n">
        <x:v>0</x:v>
      </x:c>
      <x:c r="J7" s="54" t="str">
        <x:v>待配置</x:v>
      </x:c>
      <x:c r="K7" s="58" t="str"/>
    </x:row>
    <x:row r="8">
      <x:c r="A8" s="57" t="str">
        <x:v>CL04</x:v>
      </x:c>
      <x:c r="B8" s="54" t="str">
        <x:v>输血闭环</x:v>
      </x:c>
      <x:c r="C8" s="54" t="str">
        <x:v>申请-评估-备血-配血-领血-核对-输注-观察</x:v>
      </x:c>
      <x:c r="D8" s="54" t="str">
        <x:v>血型/血制品/人员/患者/反应</x:v>
      </x:c>
      <x:c r="E8" s="54" t="str">
        <x:v>核对率、追溯率、反应上报率</x:v>
      </x:c>
      <x:c r="F8" s="54" t="str">
        <x:v>输血科/护理部</x:v>
      </x:c>
      <x:c r="G8" s="54" t="str">
        <x:v>P0</x:v>
      </x:c>
      <x:c r="H8" s="54" t="str">
        <x:v>未开始</x:v>
      </x:c>
      <x:c r="I8" s="67" t="n">
        <x:v>0</x:v>
      </x:c>
      <x:c r="J8" s="54" t="str">
        <x:v>待配置</x:v>
      </x:c>
      <x:c r="K8" s="58" t="str"/>
    </x:row>
    <x:row r="9">
      <x:c r="A9" s="57" t="str">
        <x:v>CL05</x:v>
      </x:c>
      <x:c r="B9" s="54" t="str">
        <x:v>检查闭环</x:v>
      </x:c>
      <x:c r="C9" s="54" t="str">
        <x:v>申请-预约-准备-签到-执行-报告-审核-回传</x:v>
      </x:c>
      <x:c r="D9" s="54" t="str">
        <x:v>检查项目/部位/设备/人员/患者</x:v>
      </x:c>
      <x:c r="E9" s="54" t="str">
        <x:v>履约率、报告时效、一致率</x:v>
      </x:c>
      <x:c r="F9" s="54" t="str">
        <x:v>医务部/检查科室</x:v>
      </x:c>
      <x:c r="G9" s="54" t="str">
        <x:v>P0</x:v>
      </x:c>
      <x:c r="H9" s="54" t="str">
        <x:v>未开始</x:v>
      </x:c>
      <x:c r="I9" s="67" t="n">
        <x:v>0</x:v>
      </x:c>
      <x:c r="J9" s="54" t="str">
        <x:v>待配置</x:v>
      </x:c>
      <x:c r="K9" s="58" t="str"/>
    </x:row>
    <x:row r="10">
      <x:c r="A10" s="57" t="str">
        <x:v>CL06</x:v>
      </x:c>
      <x:c r="B10" s="54" t="str">
        <x:v>手术麻醉闭环</x:v>
      </x:c>
      <x:c r="C10" s="54" t="str">
        <x:v>申请-分级-排程-核查-麻醉-手术-复苏-随访</x:v>
      </x:c>
      <x:c r="D10" s="54" t="str">
        <x:v>手术/麻醉/人员/手术间/器械</x:v>
      </x:c>
      <x:c r="E10" s="54" t="str">
        <x:v>核查率、准备完整率、随访率</x:v>
      </x:c>
      <x:c r="F10" s="54" t="str">
        <x:v>手术麻醉中心</x:v>
      </x:c>
      <x:c r="G10" s="54" t="str">
        <x:v>P0</x:v>
      </x:c>
      <x:c r="H10" s="54" t="str">
        <x:v>未开始</x:v>
      </x:c>
      <x:c r="I10" s="67" t="n">
        <x:v>0</x:v>
      </x:c>
      <x:c r="J10" s="54" t="str">
        <x:v>待配置</x:v>
      </x:c>
      <x:c r="K10" s="58" t="str"/>
    </x:row>
    <x:row r="11">
      <x:c r="A11" s="57" t="str">
        <x:v>CL07</x:v>
      </x:c>
      <x:c r="B11" s="54" t="str">
        <x:v>消毒供应与器械包闭环</x:v>
      </x:c>
      <x:c r="C11" s="54" t="str">
        <x:v>回收-清洗-消毒-组包-灭菌-放行-领用-使用</x:v>
      </x:c>
      <x:c r="D11" s="54" t="str">
        <x:v>器械包/设备/批次/人员/手术</x:v>
      </x:c>
      <x:c r="E11" s="54" t="str">
        <x:v>批次追溯率、使用关联率</x:v>
      </x:c>
      <x:c r="F11" s="54" t="str">
        <x:v>消毒供应中心</x:v>
      </x:c>
      <x:c r="G11" s="54" t="str">
        <x:v>P1</x:v>
      </x:c>
      <x:c r="H11" s="54" t="str">
        <x:v>未开始</x:v>
      </x:c>
      <x:c r="I11" s="67" t="n">
        <x:v>0</x:v>
      </x:c>
      <x:c r="J11" s="54" t="str">
        <x:v>待配置</x:v>
      </x:c>
      <x:c r="K11" s="58" t="str"/>
    </x:row>
    <x:row r="12">
      <x:c r="A12" s="57" t="str">
        <x:v>CL08</x:v>
      </x:c>
      <x:c r="B12" s="54" t="str">
        <x:v>高值耗材与植入物闭环</x:v>
      </x:c>
      <x:c r="C12" s="54" t="str">
        <x:v>采购-验收-入库-领用-植入-计费-追溯</x:v>
      </x:c>
      <x:c r="D12" s="54" t="str">
        <x:v>耗材/UDI/批次/供应商/患者</x:v>
      </x:c>
      <x:c r="E12" s="54" t="str">
        <x:v>账物费一致率、可追溯率</x:v>
      </x:c>
      <x:c r="F12" s="54" t="str">
        <x:v>医学装备部</x:v>
      </x:c>
      <x:c r="G12" s="54" t="str">
        <x:v>P1</x:v>
      </x:c>
      <x:c r="H12" s="54" t="str">
        <x:v>未开始</x:v>
      </x:c>
      <x:c r="I12" s="67" t="n">
        <x:v>0</x:v>
      </x:c>
      <x:c r="J12" s="54" t="str">
        <x:v>待配置</x:v>
      </x:c>
      <x:c r="K12" s="58" t="str"/>
    </x:row>
    <x:row r="13">
      <x:c r="A13" s="57" t="str">
        <x:v>CL09</x:v>
      </x:c>
      <x:c r="B13" s="54" t="str">
        <x:v>会诊闭环</x:v>
      </x:c>
      <x:c r="C13" s="54" t="str">
        <x:v>申请-分诊-接收-会诊-意见-执行-评价</x:v>
      </x:c>
      <x:c r="D13" s="54" t="str">
        <x:v>科室/人员/患者/会诊类型</x:v>
      </x:c>
      <x:c r="E13" s="54" t="str">
        <x:v>响应时长、意见反馈率</x:v>
      </x:c>
      <x:c r="F13" s="54" t="str">
        <x:v>医务部</x:v>
      </x:c>
      <x:c r="G13" s="54" t="str">
        <x:v>P1</x:v>
      </x:c>
      <x:c r="H13" s="54" t="str">
        <x:v>未开始</x:v>
      </x:c>
      <x:c r="I13" s="67" t="n">
        <x:v>0</x:v>
      </x:c>
      <x:c r="J13" s="54" t="str">
        <x:v>待配置</x:v>
      </x:c>
      <x:c r="K13" s="58" t="str"/>
    </x:row>
    <x:row r="14">
      <x:c r="A14" s="57" t="str">
        <x:v>CL10</x:v>
      </x:c>
      <x:c r="B14" s="54" t="str">
        <x:v>转科转床闭环</x:v>
      </x:c>
      <x:c r="C14" s="54" t="str">
        <x:v>申请-评估-确认-转出-接收-床位更新-交接</x:v>
      </x:c>
      <x:c r="D14" s="54" t="str">
        <x:v>床位/病区/护理单元/科室/患者</x:v>
      </x:c>
      <x:c r="E14" s="54" t="str">
        <x:v>床位状态一致率、交接完整率</x:v>
      </x:c>
      <x:c r="F14" s="54" t="str">
        <x:v>医务部/护理部</x:v>
      </x:c>
      <x:c r="G14" s="54" t="str">
        <x:v>P0</x:v>
      </x:c>
      <x:c r="H14" s="54" t="str">
        <x:v>未开始</x:v>
      </x:c>
      <x:c r="I14" s="67" t="n">
        <x:v>0</x:v>
      </x:c>
      <x:c r="J14" s="54" t="str">
        <x:v>待配置</x:v>
      </x:c>
      <x:c r="K14" s="58" t="str"/>
    </x:row>
    <x:row r="15">
      <x:c r="A15" s="57" t="str">
        <x:v>CL11</x:v>
      </x:c>
      <x:c r="B15" s="54" t="str">
        <x:v>临床路径闭环</x:v>
      </x:c>
      <x:c r="C15" s="54" t="str">
        <x:v>入径-节点执行-变异-出径-结局评价</x:v>
      </x:c>
      <x:c r="D15" s="54" t="str">
        <x:v>路径/诊断/医嘱/项目/患者</x:v>
      </x:c>
      <x:c r="E15" s="54" t="str">
        <x:v>入径率、节点执行率、变异闭环率</x:v>
      </x:c>
      <x:c r="F15" s="54" t="str">
        <x:v>医务部</x:v>
      </x:c>
      <x:c r="G15" s="54" t="str">
        <x:v>P1</x:v>
      </x:c>
      <x:c r="H15" s="54" t="str">
        <x:v>未开始</x:v>
      </x:c>
      <x:c r="I15" s="67" t="n">
        <x:v>0</x:v>
      </x:c>
      <x:c r="J15" s="54" t="str">
        <x:v>待配置</x:v>
      </x:c>
      <x:c r="K15" s="58" t="str"/>
    </x:row>
    <x:row r="16">
      <x:c r="A16" s="57" t="str">
        <x:v>CL12</x:v>
      </x:c>
      <x:c r="B16" s="54" t="str">
        <x:v>抗菌药物管理闭环</x:v>
      </x:c>
      <x:c r="C16" s="54" t="str">
        <x:v>适应证-授权-审批-用药-培养-评价-停药</x:v>
      </x:c>
      <x:c r="D16" s="54" t="str">
        <x:v>药品/诊断/培养/肾功能/授权</x:v>
      </x:c>
      <x:c r="E16" s="54" t="str">
        <x:v>合理率、审批时效、送检率</x:v>
      </x:c>
      <x:c r="F16" s="54" t="str">
        <x:v>药学部/医务部</x:v>
      </x:c>
      <x:c r="G16" s="54" t="str">
        <x:v>P0</x:v>
      </x:c>
      <x:c r="H16" s="54" t="str">
        <x:v>未开始</x:v>
      </x:c>
      <x:c r="I16" s="67" t="n">
        <x:v>0</x:v>
      </x:c>
      <x:c r="J16" s="54" t="str">
        <x:v>待配置</x:v>
      </x:c>
      <x:c r="K16" s="58" t="str"/>
    </x:row>
    <x:row r="17">
      <x:c r="A17" s="57" t="str">
        <x:v>CL13</x:v>
      </x:c>
      <x:c r="B17" s="54" t="str">
        <x:v>VTE防治闭环</x:v>
      </x:c>
      <x:c r="C17" s="54" t="str">
        <x:v>风险评估-预警-预防-复评-事件-出院教育</x:v>
      </x:c>
      <x:c r="D17" s="54" t="str">
        <x:v>量表/诊断/医嘱/护理措施</x:v>
      </x:c>
      <x:c r="E17" s="54" t="str">
        <x:v>评估率、预防率、复评时效</x:v>
      </x:c>
      <x:c r="F17" s="54" t="str">
        <x:v>医务部/护理部</x:v>
      </x:c>
      <x:c r="G17" s="54" t="str">
        <x:v>P1</x:v>
      </x:c>
      <x:c r="H17" s="54" t="str">
        <x:v>未开始</x:v>
      </x:c>
      <x:c r="I17" s="67" t="n">
        <x:v>0</x:v>
      </x:c>
      <x:c r="J17" s="54" t="str">
        <x:v>待配置</x:v>
      </x:c>
      <x:c r="K17" s="58" t="str"/>
    </x:row>
    <x:row r="18">
      <x:c r="A18" s="57" t="str">
        <x:v>CL14</x:v>
      </x:c>
      <x:c r="B18" s="54" t="str">
        <x:v>病历质控闭环</x:v>
      </x:c>
      <x:c r="C18" s="54" t="str">
        <x:v>实时规则-提示-整改-复核-归档-追踪</x:v>
      </x:c>
      <x:c r="D18" s="54" t="str">
        <x:v>文书/签名/时限/诊断/首页</x:v>
      </x:c>
      <x:c r="E18" s="54" t="str">
        <x:v>整改率、逾期率、归档时效</x:v>
      </x:c>
      <x:c r="F18" s="54" t="str">
        <x:v>质评部/病案室</x:v>
      </x:c>
      <x:c r="G18" s="54" t="str">
        <x:v>P0</x:v>
      </x:c>
      <x:c r="H18" s="54" t="str">
        <x:v>未开始</x:v>
      </x:c>
      <x:c r="I18" s="67" t="n">
        <x:v>0</x:v>
      </x:c>
      <x:c r="J18" s="54" t="str">
        <x:v>待配置</x:v>
      </x:c>
      <x:c r="K18" s="58" t="str"/>
    </x:row>
    <x:row r="19">
      <x:c r="A19" s="59" t="str">
        <x:v>CL15</x:v>
      </x:c>
      <x:c r="B19" s="60" t="str">
        <x:v>患者随访闭环</x:v>
      </x:c>
      <x:c r="C19" s="60" t="str">
        <x:v>出院计划-任务-触达-评估-异常转诊-结束</x:v>
      </x:c>
      <x:c r="D19" s="60" t="str">
        <x:v>患者/计划/渠道/疾病/人员</x:v>
      </x:c>
      <x:c r="E19" s="60" t="str">
        <x:v>触达率、完成率、转诊率</x:v>
      </x:c>
      <x:c r="F19" s="60" t="str">
        <x:v>医务部/患者服务</x:v>
      </x:c>
      <x:c r="G19" s="60" t="str">
        <x:v>P1</x:v>
      </x:c>
      <x:c r="H19" s="60" t="str">
        <x:v>未开始</x:v>
      </x:c>
      <x:c r="I19" s="68" t="n">
        <x:v>0</x:v>
      </x:c>
      <x:c r="J19" s="60" t="str">
        <x:v>待配置</x:v>
      </x:c>
      <x:c r="K19" s="61" t="str"/>
    </x:row>
  </x:sheetData>
  <x:mergeCells>
    <x:mergeCell ref="A1:K1"/>
    <x:mergeCell ref="A2:K2"/>
  </x:mergeCells>
  <x:conditionalFormatting sqref="I5:I19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{E4E793C4-0E70-DAD9-0931-C85129ECD60F}</x14:id>
        </x:ext>
      </x:extLst>
    </x:cfRule>
  </x:conditionalFormatting>
  <x:dataValidations count="1">
    <x:dataValidation type="list" sqref="H5:H19">
      <x:formula1>"未开始,设计中,开发中,试运行,已上线,阻塞"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334339e510400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E793C4-0E70-DAD9-0931-C85129ECD60F}">
            <x14:dataBar gradient="1">
              <x14:cfvo type="min"/>
              <x14:cfvo type="max"/>
              <x14:fillColor rgb="FF70AD47"/>
            </x14:dataBar>
          </x14:cfRule>
          <xm:sqref>I5:I19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5" hidden="0" customWidth="1"/>
    <x:col min="4" max="4" width="42" hidden="0" customWidth="1"/>
    <x:col min="5" max="5" width="24" hidden="0" customWidth="1"/>
    <x:col min="6" max="6" width="10" hidden="0" customWidth="1"/>
    <x:col min="7" max="7" width="38" hidden="0" customWidth="1"/>
    <x:col min="8" max="8" width="12" hidden="0" customWidth="1"/>
    <x:col min="9" max="9" width="32" hidden="0" customWidth="1"/>
    <x:col min="10" max="10" width="15" hidden="0" customWidth="1"/>
  </x:cols>
  <x:sheetData>
    <x:row r="1" ht="30" customHeight="1">
      <x:c r="A1" s="5" t="str">
        <x:v>持续证据中心登记台账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2" t="str">
        <x:v>证据应可复现、可核验、可追溯到条款、版本、运行数据和责任人。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34" t="str">
        <x:v>证据编号</x:v>
      </x:c>
      <x:c r="B4" s="35" t="str">
        <x:v>关联条目</x:v>
      </x:c>
      <x:c r="C4" s="35" t="str">
        <x:v>证据类型</x:v>
      </x:c>
      <x:c r="D4" s="35" t="str">
        <x:v>证据名称</x:v>
      </x:c>
      <x:c r="E4" s="35" t="str">
        <x:v>责任部门</x:v>
      </x:c>
      <x:c r="F4" s="35" t="str">
        <x:v>版本</x:v>
      </x:c>
      <x:c r="G4" s="35" t="str">
        <x:v>存储位置</x:v>
      </x:c>
      <x:c r="H4" s="35" t="str">
        <x:v>归档状态</x:v>
      </x:c>
      <x:c r="I4" s="35" t="str">
        <x:v>校验哈希</x:v>
      </x:c>
      <x:c r="J4" s="36" t="str">
        <x:v>最后更新</x:v>
      </x:c>
    </x:row>
    <x:row r="5">
      <x:c r="A5" s="57" t="str">
        <x:v>EVD-0001</x:v>
      </x:c>
      <x:c r="B5" s="54" t="str">
        <x:v>HY-DATA-01</x:v>
      </x:c>
      <x:c r="C5" s="54" t="str">
        <x:v>设计/配置</x:v>
      </x:c>
      <x:c r="D5" s="54" t="str">
        <x:v>数据标准中心、字段映射、值域校验-设计/配置证据</x:v>
      </x:c>
      <x:c r="E5" s="54" t="str">
        <x:v>标准规范组/数据Owner</x:v>
      </x:c>
      <x:c r="F5" s="54" t="str">
        <x:v>V1.0</x:v>
      </x:c>
      <x:c r="G5" s="54" t="str"/>
      <x:c r="H5" s="54" t="str">
        <x:v>未归档</x:v>
      </x:c>
      <x:c r="I5" s="54" t="str"/>
      <x:c r="J5" s="58" t="str"/>
    </x:row>
    <x:row r="6">
      <x:c r="A6" s="57" t="str">
        <x:v>EVD-0002</x:v>
      </x:c>
      <x:c r="B6" s="54" t="str">
        <x:v>HY-DATA-01</x:v>
      </x:c>
      <x:c r="C6" s="54" t="str">
        <x:v>测试/运行</x:v>
      </x:c>
      <x:c r="D6" s="54" t="str">
        <x:v>数据标准中心、字段映射、值域校验-测试/运行证据</x:v>
      </x:c>
      <x:c r="E6" s="54" t="str">
        <x:v>标准规范组/数据Owner</x:v>
      </x:c>
      <x:c r="F6" s="54" t="str">
        <x:v>V1.0</x:v>
      </x:c>
      <x:c r="G6" s="54" t="str"/>
      <x:c r="H6" s="54" t="str">
        <x:v>未归档</x:v>
      </x:c>
      <x:c r="I6" s="54" t="str"/>
      <x:c r="J6" s="58" t="str"/>
    </x:row>
    <x:row r="7">
      <x:c r="A7" s="57" t="str">
        <x:v>EVD-0003</x:v>
      </x:c>
      <x:c r="B7" s="54" t="str">
        <x:v>HY-DATA-01</x:v>
      </x:c>
      <x:c r="C7" s="54" t="str">
        <x:v>业务签字</x:v>
      </x:c>
      <x:c r="D7" s="54" t="str">
        <x:v>数据标准中心、字段映射、值域校验-业务签字证据</x:v>
      </x:c>
      <x:c r="E7" s="54" t="str">
        <x:v>标准规范组/数据Owner</x:v>
      </x:c>
      <x:c r="F7" s="54" t="str">
        <x:v>V1.0</x:v>
      </x:c>
      <x:c r="G7" s="54" t="str"/>
      <x:c r="H7" s="54" t="str">
        <x:v>未归档</x:v>
      </x:c>
      <x:c r="I7" s="54" t="str"/>
      <x:c r="J7" s="58" t="str"/>
    </x:row>
    <x:row r="8">
      <x:c r="A8" s="57" t="str">
        <x:v>EVD-0004</x:v>
      </x:c>
      <x:c r="B8" s="54" t="str">
        <x:v>HY-DATA-02</x:v>
      </x:c>
      <x:c r="C8" s="54" t="str">
        <x:v>设计/配置</x:v>
      </x:c>
      <x:c r="D8" s="54" t="str">
        <x:v>CDR临床模型-设计/配置证据</x:v>
      </x:c>
      <x:c r="E8" s="54" t="str">
        <x:v>标准规范组/数据Owner</x:v>
      </x:c>
      <x:c r="F8" s="54" t="str">
        <x:v>V1.0</x:v>
      </x:c>
      <x:c r="G8" s="54" t="str"/>
      <x:c r="H8" s="54" t="str">
        <x:v>未归档</x:v>
      </x:c>
      <x:c r="I8" s="54" t="str"/>
      <x:c r="J8" s="58" t="str"/>
    </x:row>
    <x:row r="9">
      <x:c r="A9" s="57" t="str">
        <x:v>EVD-0005</x:v>
      </x:c>
      <x:c r="B9" s="54" t="str">
        <x:v>HY-DATA-02</x:v>
      </x:c>
      <x:c r="C9" s="54" t="str">
        <x:v>测试/运行</x:v>
      </x:c>
      <x:c r="D9" s="54" t="str">
        <x:v>CDR临床模型-测试/运行证据</x:v>
      </x:c>
      <x:c r="E9" s="54" t="str">
        <x:v>标准规范组/数据Owner</x:v>
      </x:c>
      <x:c r="F9" s="54" t="str">
        <x:v>V1.0</x:v>
      </x:c>
      <x:c r="G9" s="54" t="str"/>
      <x:c r="H9" s="54" t="str">
        <x:v>未归档</x:v>
      </x:c>
      <x:c r="I9" s="54" t="str"/>
      <x:c r="J9" s="58" t="str"/>
    </x:row>
    <x:row r="10">
      <x:c r="A10" s="57" t="str">
        <x:v>EVD-0006</x:v>
      </x:c>
      <x:c r="B10" s="54" t="str">
        <x:v>HY-DATA-02</x:v>
      </x:c>
      <x:c r="C10" s="54" t="str">
        <x:v>业务签字</x:v>
      </x:c>
      <x:c r="D10" s="54" t="str">
        <x:v>CDR临床模型-业务签字证据</x:v>
      </x:c>
      <x:c r="E10" s="54" t="str">
        <x:v>标准规范组/数据Owner</x:v>
      </x:c>
      <x:c r="F10" s="54" t="str">
        <x:v>V1.0</x:v>
      </x:c>
      <x:c r="G10" s="54" t="str"/>
      <x:c r="H10" s="54" t="str">
        <x:v>未归档</x:v>
      </x:c>
      <x:c r="I10" s="54" t="str"/>
      <x:c r="J10" s="58" t="str"/>
    </x:row>
    <x:row r="11">
      <x:c r="A11" s="57" t="str">
        <x:v>EVD-0007</x:v>
      </x:c>
      <x:c r="B11" s="54" t="str">
        <x:v>HY-DATA-03</x:v>
      </x:c>
      <x:c r="C11" s="54" t="str">
        <x:v>设计/配置</x:v>
      </x:c>
      <x:c r="D11" s="54" t="str">
        <x:v>EMPI和组织人员MDM-设计/配置证据</x:v>
      </x:c>
      <x:c r="E11" s="54" t="str">
        <x:v>标准规范组/数据Owner</x:v>
      </x:c>
      <x:c r="F11" s="54" t="str">
        <x:v>V1.0</x:v>
      </x:c>
      <x:c r="G11" s="54" t="str"/>
      <x:c r="H11" s="54" t="str">
        <x:v>未归档</x:v>
      </x:c>
      <x:c r="I11" s="54" t="str"/>
      <x:c r="J11" s="58" t="str"/>
    </x:row>
    <x:row r="12">
      <x:c r="A12" s="57" t="str">
        <x:v>EVD-0008</x:v>
      </x:c>
      <x:c r="B12" s="54" t="str">
        <x:v>HY-DATA-03</x:v>
      </x:c>
      <x:c r="C12" s="54" t="str">
        <x:v>测试/运行</x:v>
      </x:c>
      <x:c r="D12" s="54" t="str">
        <x:v>EMPI和组织人员MDM-测试/运行证据</x:v>
      </x:c>
      <x:c r="E12" s="54" t="str">
        <x:v>标准规范组/数据Owner</x:v>
      </x:c>
      <x:c r="F12" s="54" t="str">
        <x:v>V1.0</x:v>
      </x:c>
      <x:c r="G12" s="54" t="str"/>
      <x:c r="H12" s="54" t="str">
        <x:v>未归档</x:v>
      </x:c>
      <x:c r="I12" s="54" t="str"/>
      <x:c r="J12" s="58" t="str"/>
    </x:row>
    <x:row r="13">
      <x:c r="A13" s="57" t="str">
        <x:v>EVD-0009</x:v>
      </x:c>
      <x:c r="B13" s="54" t="str">
        <x:v>HY-DATA-03</x:v>
      </x:c>
      <x:c r="C13" s="54" t="str">
        <x:v>业务签字</x:v>
      </x:c>
      <x:c r="D13" s="54" t="str">
        <x:v>EMPI和组织人员MDM-业务签字证据</x:v>
      </x:c>
      <x:c r="E13" s="54" t="str">
        <x:v>标准规范组/数据Owner</x:v>
      </x:c>
      <x:c r="F13" s="54" t="str">
        <x:v>V1.0</x:v>
      </x:c>
      <x:c r="G13" s="54" t="str"/>
      <x:c r="H13" s="54" t="str">
        <x:v>未归档</x:v>
      </x:c>
      <x:c r="I13" s="54" t="str"/>
      <x:c r="J13" s="58" t="str"/>
    </x:row>
    <x:row r="14">
      <x:c r="A14" s="57" t="str">
        <x:v>EVD-0010</x:v>
      </x:c>
      <x:c r="B14" s="54" t="str">
        <x:v>HY-DATA-04</x:v>
      </x:c>
      <x:c r="C14" s="54" t="str">
        <x:v>设计/配置</x:v>
      </x:c>
      <x:c r="D14" s="54" t="str">
        <x:v>术语服务和ConceptMap-设计/配置证据</x:v>
      </x:c>
      <x:c r="E14" s="54" t="str">
        <x:v>标准规范组/数据Owner</x:v>
      </x:c>
      <x:c r="F14" s="54" t="str">
        <x:v>V1.0</x:v>
      </x:c>
      <x:c r="G14" s="54" t="str"/>
      <x:c r="H14" s="54" t="str">
        <x:v>未归档</x:v>
      </x:c>
      <x:c r="I14" s="54" t="str"/>
      <x:c r="J14" s="58" t="str"/>
    </x:row>
    <x:row r="15">
      <x:c r="A15" s="57" t="str">
        <x:v>EVD-0011</x:v>
      </x:c>
      <x:c r="B15" s="54" t="str">
        <x:v>HY-DATA-04</x:v>
      </x:c>
      <x:c r="C15" s="54" t="str">
        <x:v>测试/运行</x:v>
      </x:c>
      <x:c r="D15" s="54" t="str">
        <x:v>术语服务和ConceptMap-测试/运行证据</x:v>
      </x:c>
      <x:c r="E15" s="54" t="str">
        <x:v>标准规范组/数据Owner</x:v>
      </x:c>
      <x:c r="F15" s="54" t="str">
        <x:v>V1.0</x:v>
      </x:c>
      <x:c r="G15" s="54" t="str"/>
      <x:c r="H15" s="54" t="str">
        <x:v>未归档</x:v>
      </x:c>
      <x:c r="I15" s="54" t="str"/>
      <x:c r="J15" s="58" t="str"/>
    </x:row>
    <x:row r="16">
      <x:c r="A16" s="57" t="str">
        <x:v>EVD-0012</x:v>
      </x:c>
      <x:c r="B16" s="54" t="str">
        <x:v>HY-DATA-04</x:v>
      </x:c>
      <x:c r="C16" s="54" t="str">
        <x:v>业务签字</x:v>
      </x:c>
      <x:c r="D16" s="54" t="str">
        <x:v>术语服务和ConceptMap-业务签字证据</x:v>
      </x:c>
      <x:c r="E16" s="54" t="str">
        <x:v>标准规范组/数据Owner</x:v>
      </x:c>
      <x:c r="F16" s="54" t="str">
        <x:v>V1.0</x:v>
      </x:c>
      <x:c r="G16" s="54" t="str"/>
      <x:c r="H16" s="54" t="str">
        <x:v>未归档</x:v>
      </x:c>
      <x:c r="I16" s="54" t="str"/>
      <x:c r="J16" s="58" t="str"/>
    </x:row>
    <x:row r="17">
      <x:c r="A17" s="57" t="str">
        <x:v>EVD-0013</x:v>
      </x:c>
      <x:c r="B17" s="54" t="str">
        <x:v>HY-DATA-05</x:v>
      </x:c>
      <x:c r="C17" s="54" t="str">
        <x:v>设计/配置</x:v>
      </x:c>
      <x:c r="D17" s="54" t="str">
        <x:v>质量规则与问题工单-设计/配置证据</x:v>
      </x:c>
      <x:c r="E17" s="54" t="str">
        <x:v>标准规范组/数据Owner</x:v>
      </x:c>
      <x:c r="F17" s="54" t="str">
        <x:v>V1.0</x:v>
      </x:c>
      <x:c r="G17" s="54" t="str"/>
      <x:c r="H17" s="54" t="str">
        <x:v>未归档</x:v>
      </x:c>
      <x:c r="I17" s="54" t="str"/>
      <x:c r="J17" s="58" t="str"/>
    </x:row>
    <x:row r="18">
      <x:c r="A18" s="57" t="str">
        <x:v>EVD-0014</x:v>
      </x:c>
      <x:c r="B18" s="54" t="str">
        <x:v>HY-DATA-05</x:v>
      </x:c>
      <x:c r="C18" s="54" t="str">
        <x:v>测试/运行</x:v>
      </x:c>
      <x:c r="D18" s="54" t="str">
        <x:v>质量规则与问题工单-测试/运行证据</x:v>
      </x:c>
      <x:c r="E18" s="54" t="str">
        <x:v>标准规范组/数据Owner</x:v>
      </x:c>
      <x:c r="F18" s="54" t="str">
        <x:v>V1.0</x:v>
      </x:c>
      <x:c r="G18" s="54" t="str"/>
      <x:c r="H18" s="54" t="str">
        <x:v>未归档</x:v>
      </x:c>
      <x:c r="I18" s="54" t="str"/>
      <x:c r="J18" s="58" t="str"/>
    </x:row>
    <x:row r="19">
      <x:c r="A19" s="57" t="str">
        <x:v>EVD-0015</x:v>
      </x:c>
      <x:c r="B19" s="54" t="str">
        <x:v>HY-DATA-05</x:v>
      </x:c>
      <x:c r="C19" s="54" t="str">
        <x:v>业务签字</x:v>
      </x:c>
      <x:c r="D19" s="54" t="str">
        <x:v>质量规则与问题工单-业务签字证据</x:v>
      </x:c>
      <x:c r="E19" s="54" t="str">
        <x:v>标准规范组/数据Owner</x:v>
      </x:c>
      <x:c r="F19" s="54" t="str">
        <x:v>V1.0</x:v>
      </x:c>
      <x:c r="G19" s="54" t="str"/>
      <x:c r="H19" s="54" t="str">
        <x:v>未归档</x:v>
      </x:c>
      <x:c r="I19" s="54" t="str"/>
      <x:c r="J19" s="58" t="str"/>
    </x:row>
    <x:row r="20">
      <x:c r="A20" s="57" t="str">
        <x:v>EVD-0016</x:v>
      </x:c>
      <x:c r="B20" s="54" t="str">
        <x:v>HY-DOC-01</x:v>
      </x:c>
      <x:c r="C20" s="54" t="str">
        <x:v>设计/配置</x:v>
      </x:c>
      <x:c r="D20" s="54" t="str">
        <x:v>结构化模板、生成和校验-设计/配置证据</x:v>
      </x:c>
      <x:c r="E20" s="54" t="str">
        <x:v>共享文档组</x:v>
      </x:c>
      <x:c r="F20" s="54" t="str">
        <x:v>V1.0</x:v>
      </x:c>
      <x:c r="G20" s="54" t="str"/>
      <x:c r="H20" s="54" t="str">
        <x:v>未归档</x:v>
      </x:c>
      <x:c r="I20" s="54" t="str"/>
      <x:c r="J20" s="58" t="str"/>
    </x:row>
    <x:row r="21">
      <x:c r="A21" s="57" t="str">
        <x:v>EVD-0017</x:v>
      </x:c>
      <x:c r="B21" s="54" t="str">
        <x:v>HY-DOC-01</x:v>
      </x:c>
      <x:c r="C21" s="54" t="str">
        <x:v>测试/运行</x:v>
      </x:c>
      <x:c r="D21" s="54" t="str">
        <x:v>结构化模板、生成和校验-测试/运行证据</x:v>
      </x:c>
      <x:c r="E21" s="54" t="str">
        <x:v>共享文档组</x:v>
      </x:c>
      <x:c r="F21" s="54" t="str">
        <x:v>V1.0</x:v>
      </x:c>
      <x:c r="G21" s="54" t="str"/>
      <x:c r="H21" s="54" t="str">
        <x:v>未归档</x:v>
      </x:c>
      <x:c r="I21" s="54" t="str"/>
      <x:c r="J21" s="58" t="str"/>
    </x:row>
    <x:row r="22">
      <x:c r="A22" s="57" t="str">
        <x:v>EVD-0018</x:v>
      </x:c>
      <x:c r="B22" s="54" t="str">
        <x:v>HY-DOC-01</x:v>
      </x:c>
      <x:c r="C22" s="54" t="str">
        <x:v>业务签字</x:v>
      </x:c>
      <x:c r="D22" s="54" t="str">
        <x:v>结构化模板、生成和校验-业务签字证据</x:v>
      </x:c>
      <x:c r="E22" s="54" t="str">
        <x:v>共享文档组</x:v>
      </x:c>
      <x:c r="F22" s="54" t="str">
        <x:v>V1.0</x:v>
      </x:c>
      <x:c r="G22" s="54" t="str"/>
      <x:c r="H22" s="54" t="str">
        <x:v>未归档</x:v>
      </x:c>
      <x:c r="I22" s="54" t="str"/>
      <x:c r="J22" s="58" t="str"/>
    </x:row>
    <x:row r="23">
      <x:c r="A23" s="57" t="str">
        <x:v>EVD-0019</x:v>
      </x:c>
      <x:c r="B23" s="54" t="str">
        <x:v>HY-DOC-02</x:v>
      </x:c>
      <x:c r="C23" s="54" t="str">
        <x:v>设计/配置</x:v>
      </x:c>
      <x:c r="D23" s="54" t="str">
        <x:v>门急诊文档与就诊关联-设计/配置证据</x:v>
      </x:c>
      <x:c r="E23" s="54" t="str">
        <x:v>共享文档组</x:v>
      </x:c>
      <x:c r="F23" s="54" t="str">
        <x:v>V1.0</x:v>
      </x:c>
      <x:c r="G23" s="54" t="str"/>
      <x:c r="H23" s="54" t="str">
        <x:v>未归档</x:v>
      </x:c>
      <x:c r="I23" s="54" t="str"/>
      <x:c r="J23" s="58" t="str"/>
    </x:row>
    <x:row r="24">
      <x:c r="A24" s="57" t="str">
        <x:v>EVD-0020</x:v>
      </x:c>
      <x:c r="B24" s="54" t="str">
        <x:v>HY-DOC-02</x:v>
      </x:c>
      <x:c r="C24" s="54" t="str">
        <x:v>测试/运行</x:v>
      </x:c>
      <x:c r="D24" s="54" t="str">
        <x:v>门急诊文档与就诊关联-测试/运行证据</x:v>
      </x:c>
      <x:c r="E24" s="54" t="str">
        <x:v>共享文档组</x:v>
      </x:c>
      <x:c r="F24" s="54" t="str">
        <x:v>V1.0</x:v>
      </x:c>
      <x:c r="G24" s="54" t="str"/>
      <x:c r="H24" s="54" t="str">
        <x:v>未归档</x:v>
      </x:c>
      <x:c r="I24" s="54" t="str"/>
      <x:c r="J24" s="58" t="str"/>
    </x:row>
    <x:row r="25">
      <x:c r="A25" s="57" t="str">
        <x:v>EVD-0021</x:v>
      </x:c>
      <x:c r="B25" s="54" t="str">
        <x:v>HY-DOC-02</x:v>
      </x:c>
      <x:c r="C25" s="54" t="str">
        <x:v>业务签字</x:v>
      </x:c>
      <x:c r="D25" s="54" t="str">
        <x:v>门急诊文档与就诊关联-业务签字证据</x:v>
      </x:c>
      <x:c r="E25" s="54" t="str">
        <x:v>共享文档组</x:v>
      </x:c>
      <x:c r="F25" s="54" t="str">
        <x:v>V1.0</x:v>
      </x:c>
      <x:c r="G25" s="54" t="str"/>
      <x:c r="H25" s="54" t="str">
        <x:v>未归档</x:v>
      </x:c>
      <x:c r="I25" s="54" t="str"/>
      <x:c r="J25" s="58" t="str"/>
    </x:row>
    <x:row r="26">
      <x:c r="A26" s="57" t="str">
        <x:v>EVD-0022</x:v>
      </x:c>
      <x:c r="B26" s="54" t="str">
        <x:v>HY-DOC-03</x:v>
      </x:c>
      <x:c r="C26" s="54" t="str">
        <x:v>设计/配置</x:v>
      </x:c>
      <x:c r="D26" s="54" t="str">
        <x:v>住院文档、签名和归档-设计/配置证据</x:v>
      </x:c>
      <x:c r="E26" s="54" t="str">
        <x:v>共享文档组</x:v>
      </x:c>
      <x:c r="F26" s="54" t="str">
        <x:v>V1.0</x:v>
      </x:c>
      <x:c r="G26" s="54" t="str"/>
      <x:c r="H26" s="54" t="str">
        <x:v>未归档</x:v>
      </x:c>
      <x:c r="I26" s="54" t="str"/>
      <x:c r="J26" s="58" t="str"/>
    </x:row>
    <x:row r="27">
      <x:c r="A27" s="57" t="str">
        <x:v>EVD-0023</x:v>
      </x:c>
      <x:c r="B27" s="54" t="str">
        <x:v>HY-DOC-03</x:v>
      </x:c>
      <x:c r="C27" s="54" t="str">
        <x:v>测试/运行</x:v>
      </x:c>
      <x:c r="D27" s="54" t="str">
        <x:v>住院文档、签名和归档-测试/运行证据</x:v>
      </x:c>
      <x:c r="E27" s="54" t="str">
        <x:v>共享文档组</x:v>
      </x:c>
      <x:c r="F27" s="54" t="str">
        <x:v>V1.0</x:v>
      </x:c>
      <x:c r="G27" s="54" t="str"/>
      <x:c r="H27" s="54" t="str">
        <x:v>未归档</x:v>
      </x:c>
      <x:c r="I27" s="54" t="str"/>
      <x:c r="J27" s="58" t="str"/>
    </x:row>
    <x:row r="28">
      <x:c r="A28" s="57" t="str">
        <x:v>EVD-0024</x:v>
      </x:c>
      <x:c r="B28" s="54" t="str">
        <x:v>HY-DOC-03</x:v>
      </x:c>
      <x:c r="C28" s="54" t="str">
        <x:v>业务签字</x:v>
      </x:c>
      <x:c r="D28" s="54" t="str">
        <x:v>住院文档、签名和归档-业务签字证据</x:v>
      </x:c>
      <x:c r="E28" s="54" t="str">
        <x:v>共享文档组</x:v>
      </x:c>
      <x:c r="F28" s="54" t="str">
        <x:v>V1.0</x:v>
      </x:c>
      <x:c r="G28" s="54" t="str"/>
      <x:c r="H28" s="54" t="str">
        <x:v>未归档</x:v>
      </x:c>
      <x:c r="I28" s="54" t="str"/>
      <x:c r="J28" s="58" t="str"/>
    </x:row>
    <x:row r="29">
      <x:c r="A29" s="57" t="str">
        <x:v>EVD-0025</x:v>
      </x:c>
      <x:c r="B29" s="54" t="str">
        <x:v>HY-DOC-04</x:v>
      </x:c>
      <x:c r="C29" s="54" t="str">
        <x:v>设计/配置</x:v>
      </x:c>
      <x:c r="D29" s="54" t="str">
        <x:v>检查报告与影像索引-设计/配置证据</x:v>
      </x:c>
      <x:c r="E29" s="54" t="str">
        <x:v>共享文档组</x:v>
      </x:c>
      <x:c r="F29" s="54" t="str">
        <x:v>V1.0</x:v>
      </x:c>
      <x:c r="G29" s="54" t="str"/>
      <x:c r="H29" s="54" t="str">
        <x:v>未归档</x:v>
      </x:c>
      <x:c r="I29" s="54" t="str"/>
      <x:c r="J29" s="58" t="str"/>
    </x:row>
    <x:row r="30">
      <x:c r="A30" s="57" t="str">
        <x:v>EVD-0026</x:v>
      </x:c>
      <x:c r="B30" s="54" t="str">
        <x:v>HY-DOC-04</x:v>
      </x:c>
      <x:c r="C30" s="54" t="str">
        <x:v>测试/运行</x:v>
      </x:c>
      <x:c r="D30" s="54" t="str">
        <x:v>检查报告与影像索引-测试/运行证据</x:v>
      </x:c>
      <x:c r="E30" s="54" t="str">
        <x:v>共享文档组</x:v>
      </x:c>
      <x:c r="F30" s="54" t="str">
        <x:v>V1.0</x:v>
      </x:c>
      <x:c r="G30" s="54" t="str"/>
      <x:c r="H30" s="54" t="str">
        <x:v>未归档</x:v>
      </x:c>
      <x:c r="I30" s="54" t="str"/>
      <x:c r="J30" s="58" t="str"/>
    </x:row>
    <x:row r="31">
      <x:c r="A31" s="57" t="str">
        <x:v>EVD-0027</x:v>
      </x:c>
      <x:c r="B31" s="54" t="str">
        <x:v>HY-DOC-04</x:v>
      </x:c>
      <x:c r="C31" s="54" t="str">
        <x:v>业务签字</x:v>
      </x:c>
      <x:c r="D31" s="54" t="str">
        <x:v>检查报告与影像索引-业务签字证据</x:v>
      </x:c>
      <x:c r="E31" s="54" t="str">
        <x:v>共享文档组</x:v>
      </x:c>
      <x:c r="F31" s="54" t="str">
        <x:v>V1.0</x:v>
      </x:c>
      <x:c r="G31" s="54" t="str"/>
      <x:c r="H31" s="54" t="str">
        <x:v>未归档</x:v>
      </x:c>
      <x:c r="I31" s="54" t="str"/>
      <x:c r="J31" s="58" t="str"/>
    </x:row>
    <x:row r="32">
      <x:c r="A32" s="57" t="str">
        <x:v>EVD-0028</x:v>
      </x:c>
      <x:c r="B32" s="54" t="str">
        <x:v>HY-DOC-05</x:v>
      </x:c>
      <x:c r="C32" s="54" t="str">
        <x:v>设计/配置</x:v>
      </x:c>
      <x:c r="D32" s="54" t="str">
        <x:v>检验报告、标本和危急值-设计/配置证据</x:v>
      </x:c>
      <x:c r="E32" s="54" t="str">
        <x:v>共享文档组</x:v>
      </x:c>
      <x:c r="F32" s="54" t="str">
        <x:v>V1.0</x:v>
      </x:c>
      <x:c r="G32" s="54" t="str"/>
      <x:c r="H32" s="54" t="str">
        <x:v>未归档</x:v>
      </x:c>
      <x:c r="I32" s="54" t="str"/>
      <x:c r="J32" s="58" t="str"/>
    </x:row>
    <x:row r="33">
      <x:c r="A33" s="57" t="str">
        <x:v>EVD-0029</x:v>
      </x:c>
      <x:c r="B33" s="54" t="str">
        <x:v>HY-DOC-05</x:v>
      </x:c>
      <x:c r="C33" s="54" t="str">
        <x:v>测试/运行</x:v>
      </x:c>
      <x:c r="D33" s="54" t="str">
        <x:v>检验报告、标本和危急值-测试/运行证据</x:v>
      </x:c>
      <x:c r="E33" s="54" t="str">
        <x:v>共享文档组</x:v>
      </x:c>
      <x:c r="F33" s="54" t="str">
        <x:v>V1.0</x:v>
      </x:c>
      <x:c r="G33" s="54" t="str"/>
      <x:c r="H33" s="54" t="str">
        <x:v>未归档</x:v>
      </x:c>
      <x:c r="I33" s="54" t="str"/>
      <x:c r="J33" s="58" t="str"/>
    </x:row>
    <x:row r="34">
      <x:c r="A34" s="57" t="str">
        <x:v>EVD-0030</x:v>
      </x:c>
      <x:c r="B34" s="54" t="str">
        <x:v>HY-DOC-05</x:v>
      </x:c>
      <x:c r="C34" s="54" t="str">
        <x:v>业务签字</x:v>
      </x:c>
      <x:c r="D34" s="54" t="str">
        <x:v>检验报告、标本和危急值-业务签字证据</x:v>
      </x:c>
      <x:c r="E34" s="54" t="str">
        <x:v>共享文档组</x:v>
      </x:c>
      <x:c r="F34" s="54" t="str">
        <x:v>V1.0</x:v>
      </x:c>
      <x:c r="G34" s="54" t="str"/>
      <x:c r="H34" s="54" t="str">
        <x:v>未归档</x:v>
      </x:c>
      <x:c r="I34" s="54" t="str"/>
      <x:c r="J34" s="58" t="str"/>
    </x:row>
    <x:row r="35">
      <x:c r="A35" s="57" t="str">
        <x:v>EVD-0031</x:v>
      </x:c>
      <x:c r="B35" s="54" t="str">
        <x:v>HY-DOC-06</x:v>
      </x:c>
      <x:c r="C35" s="54" t="str">
        <x:v>设计/配置</x:v>
      </x:c>
      <x:c r="D35" s="54" t="str">
        <x:v>围术期文档和事件-设计/配置证据</x:v>
      </x:c>
      <x:c r="E35" s="54" t="str">
        <x:v>共享文档组</x:v>
      </x:c>
      <x:c r="F35" s="54" t="str">
        <x:v>V1.0</x:v>
      </x:c>
      <x:c r="G35" s="54" t="str"/>
      <x:c r="H35" s="54" t="str">
        <x:v>未归档</x:v>
      </x:c>
      <x:c r="I35" s="54" t="str"/>
      <x:c r="J35" s="58" t="str"/>
    </x:row>
    <x:row r="36">
      <x:c r="A36" s="57" t="str">
        <x:v>EVD-0032</x:v>
      </x:c>
      <x:c r="B36" s="54" t="str">
        <x:v>HY-DOC-06</x:v>
      </x:c>
      <x:c r="C36" s="54" t="str">
        <x:v>测试/运行</x:v>
      </x:c>
      <x:c r="D36" s="54" t="str">
        <x:v>围术期文档和事件-测试/运行证据</x:v>
      </x:c>
      <x:c r="E36" s="54" t="str">
        <x:v>共享文档组</x:v>
      </x:c>
      <x:c r="F36" s="54" t="str">
        <x:v>V1.0</x:v>
      </x:c>
      <x:c r="G36" s="54" t="str"/>
      <x:c r="H36" s="54" t="str">
        <x:v>未归档</x:v>
      </x:c>
      <x:c r="I36" s="54" t="str"/>
      <x:c r="J36" s="58" t="str"/>
    </x:row>
    <x:row r="37">
      <x:c r="A37" s="57" t="str">
        <x:v>EVD-0033</x:v>
      </x:c>
      <x:c r="B37" s="54" t="str">
        <x:v>HY-DOC-06</x:v>
      </x:c>
      <x:c r="C37" s="54" t="str">
        <x:v>业务签字</x:v>
      </x:c>
      <x:c r="D37" s="54" t="str">
        <x:v>围术期文档和事件-业务签字证据</x:v>
      </x:c>
      <x:c r="E37" s="54" t="str">
        <x:v>共享文档组</x:v>
      </x:c>
      <x:c r="F37" s="54" t="str">
        <x:v>V1.0</x:v>
      </x:c>
      <x:c r="G37" s="54" t="str"/>
      <x:c r="H37" s="54" t="str">
        <x:v>未归档</x:v>
      </x:c>
      <x:c r="I37" s="54" t="str"/>
      <x:c r="J37" s="58" t="str"/>
    </x:row>
    <x:row r="38">
      <x:c r="A38" s="57" t="str">
        <x:v>EVD-0034</x:v>
      </x:c>
      <x:c r="B38" s="54" t="str">
        <x:v>HY-DOC-07</x:v>
      </x:c>
      <x:c r="C38" s="54" t="str">
        <x:v>设计/配置</x:v>
      </x:c>
      <x:c r="D38" s="54" t="str">
        <x:v>体检报告结构化-设计/配置证据</x:v>
      </x:c>
      <x:c r="E38" s="54" t="str">
        <x:v>共享文档组</x:v>
      </x:c>
      <x:c r="F38" s="54" t="str">
        <x:v>V1.0</x:v>
      </x:c>
      <x:c r="G38" s="54" t="str"/>
      <x:c r="H38" s="54" t="str">
        <x:v>未归档</x:v>
      </x:c>
      <x:c r="I38" s="54" t="str"/>
      <x:c r="J38" s="58" t="str"/>
    </x:row>
    <x:row r="39">
      <x:c r="A39" s="57" t="str">
        <x:v>EVD-0035</x:v>
      </x:c>
      <x:c r="B39" s="54" t="str">
        <x:v>HY-DOC-07</x:v>
      </x:c>
      <x:c r="C39" s="54" t="str">
        <x:v>测试/运行</x:v>
      </x:c>
      <x:c r="D39" s="54" t="str">
        <x:v>体检报告结构化-测试/运行证据</x:v>
      </x:c>
      <x:c r="E39" s="54" t="str">
        <x:v>共享文档组</x:v>
      </x:c>
      <x:c r="F39" s="54" t="str">
        <x:v>V1.0</x:v>
      </x:c>
      <x:c r="G39" s="54" t="str"/>
      <x:c r="H39" s="54" t="str">
        <x:v>未归档</x:v>
      </x:c>
      <x:c r="I39" s="54" t="str"/>
      <x:c r="J39" s="58" t="str"/>
    </x:row>
    <x:row r="40">
      <x:c r="A40" s="57" t="str">
        <x:v>EVD-0036</x:v>
      </x:c>
      <x:c r="B40" s="54" t="str">
        <x:v>HY-DOC-07</x:v>
      </x:c>
      <x:c r="C40" s="54" t="str">
        <x:v>业务签字</x:v>
      </x:c>
      <x:c r="D40" s="54" t="str">
        <x:v>体检报告结构化-业务签字证据</x:v>
      </x:c>
      <x:c r="E40" s="54" t="str">
        <x:v>共享文档组</x:v>
      </x:c>
      <x:c r="F40" s="54" t="str">
        <x:v>V1.0</x:v>
      </x:c>
      <x:c r="G40" s="54" t="str"/>
      <x:c r="H40" s="54" t="str">
        <x:v>未归档</x:v>
      </x:c>
      <x:c r="I40" s="54" t="str"/>
      <x:c r="J40" s="58" t="str"/>
    </x:row>
    <x:row r="41">
      <x:c r="A41" s="57" t="str">
        <x:v>EVD-0037</x:v>
      </x:c>
      <x:c r="B41" s="54" t="str">
        <x:v>HY-DOC-08</x:v>
      </x:c>
      <x:c r="C41" s="54" t="str">
        <x:v>设计/配置</x:v>
      </x:c>
      <x:c r="D41" s="54" t="str">
        <x:v>法定报告结构化和交换-设计/配置证据</x:v>
      </x:c>
      <x:c r="E41" s="54" t="str">
        <x:v>共享文档组</x:v>
      </x:c>
      <x:c r="F41" s="54" t="str">
        <x:v>V1.0</x:v>
      </x:c>
      <x:c r="G41" s="54" t="str"/>
      <x:c r="H41" s="54" t="str">
        <x:v>未归档</x:v>
      </x:c>
      <x:c r="I41" s="54" t="str"/>
      <x:c r="J41" s="58" t="str"/>
    </x:row>
    <x:row r="42">
      <x:c r="A42" s="57" t="str">
        <x:v>EVD-0038</x:v>
      </x:c>
      <x:c r="B42" s="54" t="str">
        <x:v>HY-DOC-08</x:v>
      </x:c>
      <x:c r="C42" s="54" t="str">
        <x:v>测试/运行</x:v>
      </x:c>
      <x:c r="D42" s="54" t="str">
        <x:v>法定报告结构化和交换-测试/运行证据</x:v>
      </x:c>
      <x:c r="E42" s="54" t="str">
        <x:v>共享文档组</x:v>
      </x:c>
      <x:c r="F42" s="54" t="str">
        <x:v>V1.0</x:v>
      </x:c>
      <x:c r="G42" s="54" t="str"/>
      <x:c r="H42" s="54" t="str">
        <x:v>未归档</x:v>
      </x:c>
      <x:c r="I42" s="54" t="str"/>
      <x:c r="J42" s="58" t="str"/>
    </x:row>
    <x:row r="43">
      <x:c r="A43" s="57" t="str">
        <x:v>EVD-0039</x:v>
      </x:c>
      <x:c r="B43" s="54" t="str">
        <x:v>HY-DOC-08</x:v>
      </x:c>
      <x:c r="C43" s="54" t="str">
        <x:v>业务签字</x:v>
      </x:c>
      <x:c r="D43" s="54" t="str">
        <x:v>法定报告结构化和交换-业务签字证据</x:v>
      </x:c>
      <x:c r="E43" s="54" t="str">
        <x:v>共享文档组</x:v>
      </x:c>
      <x:c r="F43" s="54" t="str">
        <x:v>V1.0</x:v>
      </x:c>
      <x:c r="G43" s="54" t="str"/>
      <x:c r="H43" s="54" t="str">
        <x:v>未归档</x:v>
      </x:c>
      <x:c r="I43" s="54" t="str"/>
      <x:c r="J43" s="58" t="str"/>
    </x:row>
    <x:row r="44">
      <x:c r="A44" s="57" t="str">
        <x:v>EVD-0040</x:v>
      </x:c>
      <x:c r="B44" s="54" t="str">
        <x:v>HY-SVC-01</x:v>
      </x:c>
      <x:c r="C44" s="54" t="str">
        <x:v>设计/配置</x:v>
      </x:c>
      <x:c r="D44" s="54" t="str">
        <x:v>EMPI/FHIR Patient-设计/配置证据</x:v>
      </x:c>
      <x:c r="E44" s="54" t="str">
        <x:v>集成/数据服务组</x:v>
      </x:c>
      <x:c r="F44" s="54" t="str">
        <x:v>V1.0</x:v>
      </x:c>
      <x:c r="G44" s="54" t="str"/>
      <x:c r="H44" s="54" t="str">
        <x:v>未归档</x:v>
      </x:c>
      <x:c r="I44" s="54" t="str"/>
      <x:c r="J44" s="58" t="str"/>
    </x:row>
    <x:row r="45">
      <x:c r="A45" s="57" t="str">
        <x:v>EVD-0041</x:v>
      </x:c>
      <x:c r="B45" s="54" t="str">
        <x:v>HY-SVC-01</x:v>
      </x:c>
      <x:c r="C45" s="54" t="str">
        <x:v>测试/运行</x:v>
      </x:c>
      <x:c r="D45" s="54" t="str">
        <x:v>EMPI/FHIR Patient-测试/运行证据</x:v>
      </x:c>
      <x:c r="E45" s="54" t="str">
        <x:v>集成/数据服务组</x:v>
      </x:c>
      <x:c r="F45" s="54" t="str">
        <x:v>V1.0</x:v>
      </x:c>
      <x:c r="G45" s="54" t="str"/>
      <x:c r="H45" s="54" t="str">
        <x:v>未归档</x:v>
      </x:c>
      <x:c r="I45" s="54" t="str"/>
      <x:c r="J45" s="58" t="str"/>
    </x:row>
    <x:row r="46">
      <x:c r="A46" s="57" t="str">
        <x:v>EVD-0042</x:v>
      </x:c>
      <x:c r="B46" s="54" t="str">
        <x:v>HY-SVC-01</x:v>
      </x:c>
      <x:c r="C46" s="54" t="str">
        <x:v>业务签字</x:v>
      </x:c>
      <x:c r="D46" s="54" t="str">
        <x:v>EMPI/FHIR Patient-业务签字证据</x:v>
      </x:c>
      <x:c r="E46" s="54" t="str">
        <x:v>集成/数据服务组</x:v>
      </x:c>
      <x:c r="F46" s="54" t="str">
        <x:v>V1.0</x:v>
      </x:c>
      <x:c r="G46" s="54" t="str"/>
      <x:c r="H46" s="54" t="str">
        <x:v>未归档</x:v>
      </x:c>
      <x:c r="I46" s="54" t="str"/>
      <x:c r="J46" s="58" t="str"/>
    </x:row>
    <x:row r="47">
      <x:c r="A47" s="57" t="str">
        <x:v>EVD-0043</x:v>
      </x:c>
      <x:c r="B47" s="54" t="str">
        <x:v>HY-SVC-02</x:v>
      </x:c>
      <x:c r="C47" s="54" t="str">
        <x:v>设计/配置</x:v>
      </x:c>
      <x:c r="D47" s="54" t="str">
        <x:v>Practitioner/PractitionerRole-设计/配置证据</x:v>
      </x:c>
      <x:c r="E47" s="54" t="str">
        <x:v>集成/数据服务组</x:v>
      </x:c>
      <x:c r="F47" s="54" t="str">
        <x:v>V1.0</x:v>
      </x:c>
      <x:c r="G47" s="54" t="str"/>
      <x:c r="H47" s="54" t="str">
        <x:v>未归档</x:v>
      </x:c>
      <x:c r="I47" s="54" t="str"/>
      <x:c r="J47" s="58" t="str"/>
    </x:row>
    <x:row r="48">
      <x:c r="A48" s="57" t="str">
        <x:v>EVD-0044</x:v>
      </x:c>
      <x:c r="B48" s="54" t="str">
        <x:v>HY-SVC-02</x:v>
      </x:c>
      <x:c r="C48" s="54" t="str">
        <x:v>测试/运行</x:v>
      </x:c>
      <x:c r="D48" s="54" t="str">
        <x:v>Practitioner/PractitionerRole-测试/运行证据</x:v>
      </x:c>
      <x:c r="E48" s="54" t="str">
        <x:v>集成/数据服务组</x:v>
      </x:c>
      <x:c r="F48" s="54" t="str">
        <x:v>V1.0</x:v>
      </x:c>
      <x:c r="G48" s="54" t="str"/>
      <x:c r="H48" s="54" t="str">
        <x:v>未归档</x:v>
      </x:c>
      <x:c r="I48" s="54" t="str"/>
      <x:c r="J48" s="58" t="str"/>
    </x:row>
    <x:row r="49">
      <x:c r="A49" s="57" t="str">
        <x:v>EVD-0045</x:v>
      </x:c>
      <x:c r="B49" s="54" t="str">
        <x:v>HY-SVC-02</x:v>
      </x:c>
      <x:c r="C49" s="54" t="str">
        <x:v>业务签字</x:v>
      </x:c>
      <x:c r="D49" s="54" t="str">
        <x:v>Practitioner/PractitionerRole-业务签字证据</x:v>
      </x:c>
      <x:c r="E49" s="54" t="str">
        <x:v>集成/数据服务组</x:v>
      </x:c>
      <x:c r="F49" s="54" t="str">
        <x:v>V1.0</x:v>
      </x:c>
      <x:c r="G49" s="54" t="str"/>
      <x:c r="H49" s="54" t="str">
        <x:v>未归档</x:v>
      </x:c>
      <x:c r="I49" s="54" t="str"/>
      <x:c r="J49" s="58" t="str"/>
    </x:row>
    <x:row r="50">
      <x:c r="A50" s="57" t="str">
        <x:v>EVD-0046</x:v>
      </x:c>
      <x:c r="B50" s="54" t="str">
        <x:v>HY-SVC-03</x:v>
      </x:c>
      <x:c r="C50" s="54" t="str">
        <x:v>设计/配置</x:v>
      </x:c>
      <x:c r="D50" s="54" t="str">
        <x:v>Organization/Location-设计/配置证据</x:v>
      </x:c>
      <x:c r="E50" s="54" t="str">
        <x:v>集成/数据服务组</x:v>
      </x:c>
      <x:c r="F50" s="54" t="str">
        <x:v>V1.0</x:v>
      </x:c>
      <x:c r="G50" s="54" t="str"/>
      <x:c r="H50" s="54" t="str">
        <x:v>未归档</x:v>
      </x:c>
      <x:c r="I50" s="54" t="str"/>
      <x:c r="J50" s="58" t="str"/>
    </x:row>
    <x:row r="51">
      <x:c r="A51" s="57" t="str">
        <x:v>EVD-0047</x:v>
      </x:c>
      <x:c r="B51" s="54" t="str">
        <x:v>HY-SVC-03</x:v>
      </x:c>
      <x:c r="C51" s="54" t="str">
        <x:v>测试/运行</x:v>
      </x:c>
      <x:c r="D51" s="54" t="str">
        <x:v>Organization/Location-测试/运行证据</x:v>
      </x:c>
      <x:c r="E51" s="54" t="str">
        <x:v>集成/数据服务组</x:v>
      </x:c>
      <x:c r="F51" s="54" t="str">
        <x:v>V1.0</x:v>
      </x:c>
      <x:c r="G51" s="54" t="str"/>
      <x:c r="H51" s="54" t="str">
        <x:v>未归档</x:v>
      </x:c>
      <x:c r="I51" s="54" t="str"/>
      <x:c r="J51" s="58" t="str"/>
    </x:row>
    <x:row r="52">
      <x:c r="A52" s="57" t="str">
        <x:v>EVD-0048</x:v>
      </x:c>
      <x:c r="B52" s="54" t="str">
        <x:v>HY-SVC-03</x:v>
      </x:c>
      <x:c r="C52" s="54" t="str">
        <x:v>业务签字</x:v>
      </x:c>
      <x:c r="D52" s="54" t="str">
        <x:v>Organization/Location-业务签字证据</x:v>
      </x:c>
      <x:c r="E52" s="54" t="str">
        <x:v>集成/数据服务组</x:v>
      </x:c>
      <x:c r="F52" s="54" t="str">
        <x:v>V1.0</x:v>
      </x:c>
      <x:c r="G52" s="54" t="str"/>
      <x:c r="H52" s="54" t="str">
        <x:v>未归档</x:v>
      </x:c>
      <x:c r="I52" s="54" t="str"/>
      <x:c r="J52" s="58" t="str"/>
    </x:row>
    <x:row r="53">
      <x:c r="A53" s="57" t="str">
        <x:v>EVD-0049</x:v>
      </x:c>
      <x:c r="B53" s="54" t="str">
        <x:v>HY-SVC-04</x:v>
      </x:c>
      <x:c r="C53" s="54" t="str">
        <x:v>设计/配置</x:v>
      </x:c>
      <x:c r="D53" s="54" t="str">
        <x:v>ValueSet/ConceptMap-设计/配置证据</x:v>
      </x:c>
      <x:c r="E53" s="54" t="str">
        <x:v>集成/数据服务组</x:v>
      </x:c>
      <x:c r="F53" s="54" t="str">
        <x:v>V1.0</x:v>
      </x:c>
      <x:c r="G53" s="54" t="str"/>
      <x:c r="H53" s="54" t="str">
        <x:v>未归档</x:v>
      </x:c>
      <x:c r="I53" s="54" t="str"/>
      <x:c r="J53" s="58" t="str"/>
    </x:row>
    <x:row r="54">
      <x:c r="A54" s="57" t="str">
        <x:v>EVD-0050</x:v>
      </x:c>
      <x:c r="B54" s="54" t="str">
        <x:v>HY-SVC-04</x:v>
      </x:c>
      <x:c r="C54" s="54" t="str">
        <x:v>测试/运行</x:v>
      </x:c>
      <x:c r="D54" s="54" t="str">
        <x:v>ValueSet/ConceptMap-测试/运行证据</x:v>
      </x:c>
      <x:c r="E54" s="54" t="str">
        <x:v>集成/数据服务组</x:v>
      </x:c>
      <x:c r="F54" s="54" t="str">
        <x:v>V1.0</x:v>
      </x:c>
      <x:c r="G54" s="54" t="str"/>
      <x:c r="H54" s="54" t="str">
        <x:v>未归档</x:v>
      </x:c>
      <x:c r="I54" s="54" t="str"/>
      <x:c r="J54" s="58" t="str"/>
    </x:row>
    <x:row r="55">
      <x:c r="A55" s="57" t="str">
        <x:v>EVD-0051</x:v>
      </x:c>
      <x:c r="B55" s="54" t="str">
        <x:v>HY-SVC-04</x:v>
      </x:c>
      <x:c r="C55" s="54" t="str">
        <x:v>业务签字</x:v>
      </x:c>
      <x:c r="D55" s="54" t="str">
        <x:v>ValueSet/ConceptMap-业务签字证据</x:v>
      </x:c>
      <x:c r="E55" s="54" t="str">
        <x:v>集成/数据服务组</x:v>
      </x:c>
      <x:c r="F55" s="54" t="str">
        <x:v>V1.0</x:v>
      </x:c>
      <x:c r="G55" s="54" t="str"/>
      <x:c r="H55" s="54" t="str">
        <x:v>未归档</x:v>
      </x:c>
      <x:c r="I55" s="54" t="str"/>
      <x:c r="J55" s="58" t="str"/>
    </x:row>
    <x:row r="56">
      <x:c r="A56" s="57" t="str">
        <x:v>EVD-0052</x:v>
      </x:c>
      <x:c r="B56" s="54" t="str">
        <x:v>HY-SVC-05</x:v>
      </x:c>
      <x:c r="C56" s="54" t="str">
        <x:v>设计/配置</x:v>
      </x:c>
      <x:c r="D56" s="54" t="str">
        <x:v>DocumentReference/文档注册库-设计/配置证据</x:v>
      </x:c>
      <x:c r="E56" s="54" t="str">
        <x:v>集成/数据服务组</x:v>
      </x:c>
      <x:c r="F56" s="54" t="str">
        <x:v>V1.0</x:v>
      </x:c>
      <x:c r="G56" s="54" t="str"/>
      <x:c r="H56" s="54" t="str">
        <x:v>未归档</x:v>
      </x:c>
      <x:c r="I56" s="54" t="str"/>
      <x:c r="J56" s="58" t="str"/>
    </x:row>
    <x:row r="57">
      <x:c r="A57" s="57" t="str">
        <x:v>EVD-0053</x:v>
      </x:c>
      <x:c r="B57" s="54" t="str">
        <x:v>HY-SVC-05</x:v>
      </x:c>
      <x:c r="C57" s="54" t="str">
        <x:v>测试/运行</x:v>
      </x:c>
      <x:c r="D57" s="54" t="str">
        <x:v>DocumentReference/文档注册库-测试/运行证据</x:v>
      </x:c>
      <x:c r="E57" s="54" t="str">
        <x:v>集成/数据服务组</x:v>
      </x:c>
      <x:c r="F57" s="54" t="str">
        <x:v>V1.0</x:v>
      </x:c>
      <x:c r="G57" s="54" t="str"/>
      <x:c r="H57" s="54" t="str">
        <x:v>未归档</x:v>
      </x:c>
      <x:c r="I57" s="54" t="str"/>
      <x:c r="J57" s="58" t="str"/>
    </x:row>
    <x:row r="58">
      <x:c r="A58" s="57" t="str">
        <x:v>EVD-0054</x:v>
      </x:c>
      <x:c r="B58" s="54" t="str">
        <x:v>HY-SVC-05</x:v>
      </x:c>
      <x:c r="C58" s="54" t="str">
        <x:v>业务签字</x:v>
      </x:c>
      <x:c r="D58" s="54" t="str">
        <x:v>DocumentReference/文档注册库-业务签字证据</x:v>
      </x:c>
      <x:c r="E58" s="54" t="str">
        <x:v>集成/数据服务组</x:v>
      </x:c>
      <x:c r="F58" s="54" t="str">
        <x:v>V1.0</x:v>
      </x:c>
      <x:c r="G58" s="54" t="str"/>
      <x:c r="H58" s="54" t="str">
        <x:v>未归档</x:v>
      </x:c>
      <x:c r="I58" s="54" t="str"/>
      <x:c r="J58" s="58" t="str"/>
    </x:row>
    <x:row r="59">
      <x:c r="A59" s="57" t="str">
        <x:v>EVD-0055</x:v>
      </x:c>
      <x:c r="B59" s="54" t="str">
        <x:v>HY-SVC-06</x:v>
      </x:c>
      <x:c r="C59" s="54" t="str">
        <x:v>设计/配置</x:v>
      </x:c>
      <x:c r="D59" s="54" t="str">
        <x:v>预约资源、时段和状态-设计/配置证据</x:v>
      </x:c>
      <x:c r="E59" s="54" t="str">
        <x:v>集成/数据服务组</x:v>
      </x:c>
      <x:c r="F59" s="54" t="str">
        <x:v>V1.0</x:v>
      </x:c>
      <x:c r="G59" s="54" t="str"/>
      <x:c r="H59" s="54" t="str">
        <x:v>未归档</x:v>
      </x:c>
      <x:c r="I59" s="54" t="str"/>
      <x:c r="J59" s="58" t="str"/>
    </x:row>
    <x:row r="60">
      <x:c r="A60" s="57" t="str">
        <x:v>EVD-0056</x:v>
      </x:c>
      <x:c r="B60" s="54" t="str">
        <x:v>HY-SVC-06</x:v>
      </x:c>
      <x:c r="C60" s="54" t="str">
        <x:v>测试/运行</x:v>
      </x:c>
      <x:c r="D60" s="54" t="str">
        <x:v>预约资源、时段和状态-测试/运行证据</x:v>
      </x:c>
      <x:c r="E60" s="54" t="str">
        <x:v>集成/数据服务组</x:v>
      </x:c>
      <x:c r="F60" s="54" t="str">
        <x:v>V1.0</x:v>
      </x:c>
      <x:c r="G60" s="54" t="str"/>
      <x:c r="H60" s="54" t="str">
        <x:v>未归档</x:v>
      </x:c>
      <x:c r="I60" s="54" t="str"/>
      <x:c r="J60" s="58" t="str"/>
    </x:row>
    <x:row r="61">
      <x:c r="A61" s="57" t="str">
        <x:v>EVD-0057</x:v>
      </x:c>
      <x:c r="B61" s="54" t="str">
        <x:v>HY-SVC-06</x:v>
      </x:c>
      <x:c r="C61" s="54" t="str">
        <x:v>业务签字</x:v>
      </x:c>
      <x:c r="D61" s="54" t="str">
        <x:v>预约资源、时段和状态-业务签字证据</x:v>
      </x:c>
      <x:c r="E61" s="54" t="str">
        <x:v>集成/数据服务组</x:v>
      </x:c>
      <x:c r="F61" s="54" t="str">
        <x:v>V1.0</x:v>
      </x:c>
      <x:c r="G61" s="54" t="str"/>
      <x:c r="H61" s="54" t="str">
        <x:v>未归档</x:v>
      </x:c>
      <x:c r="I61" s="54" t="str"/>
      <x:c r="J61" s="58" t="str"/>
    </x:row>
    <x:row r="62">
      <x:c r="A62" s="57" t="str">
        <x:v>EVD-0058</x:v>
      </x:c>
      <x:c r="B62" s="54" t="str">
        <x:v>HY-SVC-07</x:v>
      </x:c>
      <x:c r="C62" s="54" t="str">
        <x:v>设计/配置</x:v>
      </x:c>
      <x:c r="D62" s="54" t="str">
        <x:v>就诊/医嘱/报告/闭环状态事件-设计/配置证据</x:v>
      </x:c>
      <x:c r="E62" s="54" t="str">
        <x:v>集成/数据服务组</x:v>
      </x:c>
      <x:c r="F62" s="54" t="str">
        <x:v>V1.0</x:v>
      </x:c>
      <x:c r="G62" s="54" t="str"/>
      <x:c r="H62" s="54" t="str">
        <x:v>未归档</x:v>
      </x:c>
      <x:c r="I62" s="54" t="str"/>
      <x:c r="J62" s="58" t="str"/>
    </x:row>
    <x:row r="63">
      <x:c r="A63" s="57" t="str">
        <x:v>EVD-0059</x:v>
      </x:c>
      <x:c r="B63" s="54" t="str">
        <x:v>HY-SVC-07</x:v>
      </x:c>
      <x:c r="C63" s="54" t="str">
        <x:v>测试/运行</x:v>
      </x:c>
      <x:c r="D63" s="54" t="str">
        <x:v>就诊/医嘱/报告/闭环状态事件-测试/运行证据</x:v>
      </x:c>
      <x:c r="E63" s="54" t="str">
        <x:v>集成/数据服务组</x:v>
      </x:c>
      <x:c r="F63" s="54" t="str">
        <x:v>V1.0</x:v>
      </x:c>
      <x:c r="G63" s="54" t="str"/>
      <x:c r="H63" s="54" t="str">
        <x:v>未归档</x:v>
      </x:c>
      <x:c r="I63" s="54" t="str"/>
      <x:c r="J63" s="58" t="str"/>
    </x:row>
    <x:row r="64">
      <x:c r="A64" s="57" t="str">
        <x:v>EVD-0060</x:v>
      </x:c>
      <x:c r="B64" s="54" t="str">
        <x:v>HY-SVC-07</x:v>
      </x:c>
      <x:c r="C64" s="54" t="str">
        <x:v>业务签字</x:v>
      </x:c>
      <x:c r="D64" s="54" t="str">
        <x:v>就诊/医嘱/报告/闭环状态事件-业务签字证据</x:v>
      </x:c>
      <x:c r="E64" s="54" t="str">
        <x:v>集成/数据服务组</x:v>
      </x:c>
      <x:c r="F64" s="54" t="str">
        <x:v>V1.0</x:v>
      </x:c>
      <x:c r="G64" s="54" t="str"/>
      <x:c r="H64" s="54" t="str">
        <x:v>未归档</x:v>
      </x:c>
      <x:c r="I64" s="54" t="str"/>
      <x:c r="J64" s="58" t="str"/>
    </x:row>
    <x:row r="65">
      <x:c r="A65" s="57" t="str">
        <x:v>EVD-0061</x:v>
      </x:c>
      <x:c r="B65" s="54" t="str">
        <x:v>HY-SVC-08</x:v>
      </x:c>
      <x:c r="C65" s="54" t="str">
        <x:v>设计/配置</x:v>
      </x:c>
      <x:c r="D65" s="54" t="str">
        <x:v>区域平台适配和审计-设计/配置证据</x:v>
      </x:c>
      <x:c r="E65" s="54" t="str">
        <x:v>集成/数据服务组</x:v>
      </x:c>
      <x:c r="F65" s="54" t="str">
        <x:v>V1.0</x:v>
      </x:c>
      <x:c r="G65" s="54" t="str"/>
      <x:c r="H65" s="54" t="str">
        <x:v>未归档</x:v>
      </x:c>
      <x:c r="I65" s="54" t="str"/>
      <x:c r="J65" s="58" t="str"/>
    </x:row>
    <x:row r="66">
      <x:c r="A66" s="57" t="str">
        <x:v>EVD-0062</x:v>
      </x:c>
      <x:c r="B66" s="54" t="str">
        <x:v>HY-SVC-08</x:v>
      </x:c>
      <x:c r="C66" s="54" t="str">
        <x:v>测试/运行</x:v>
      </x:c>
      <x:c r="D66" s="54" t="str">
        <x:v>区域平台适配和审计-测试/运行证据</x:v>
      </x:c>
      <x:c r="E66" s="54" t="str">
        <x:v>集成/数据服务组</x:v>
      </x:c>
      <x:c r="F66" s="54" t="str">
        <x:v>V1.0</x:v>
      </x:c>
      <x:c r="G66" s="54" t="str"/>
      <x:c r="H66" s="54" t="str">
        <x:v>未归档</x:v>
      </x:c>
      <x:c r="I66" s="54" t="str"/>
      <x:c r="J66" s="58" t="str"/>
    </x:row>
    <x:row r="67">
      <x:c r="A67" s="57" t="str">
        <x:v>EVD-0063</x:v>
      </x:c>
      <x:c r="B67" s="54" t="str">
        <x:v>HY-SVC-08</x:v>
      </x:c>
      <x:c r="C67" s="54" t="str">
        <x:v>业务签字</x:v>
      </x:c>
      <x:c r="D67" s="54" t="str">
        <x:v>区域平台适配和审计-业务签字证据</x:v>
      </x:c>
      <x:c r="E67" s="54" t="str">
        <x:v>集成/数据服务组</x:v>
      </x:c>
      <x:c r="F67" s="54" t="str">
        <x:v>V1.0</x:v>
      </x:c>
      <x:c r="G67" s="54" t="str"/>
      <x:c r="H67" s="54" t="str">
        <x:v>未归档</x:v>
      </x:c>
      <x:c r="I67" s="54" t="str"/>
      <x:c r="J67" s="58" t="str"/>
    </x:row>
    <x:row r="68">
      <x:c r="A68" s="57" t="str">
        <x:v>EVD-0064</x:v>
      </x:c>
      <x:c r="B68" s="54" t="str">
        <x:v>HY-SVC-09</x:v>
      </x:c>
      <x:c r="C68" s="54" t="str">
        <x:v>设计/配置</x:v>
      </x:c>
      <x:c r="D68" s="54" t="str">
        <x:v>事件总线和补偿控制台-设计/配置证据</x:v>
      </x:c>
      <x:c r="E68" s="54" t="str">
        <x:v>集成/数据服务组</x:v>
      </x:c>
      <x:c r="F68" s="54" t="str">
        <x:v>V1.0</x:v>
      </x:c>
      <x:c r="G68" s="54" t="str"/>
      <x:c r="H68" s="54" t="str">
        <x:v>未归档</x:v>
      </x:c>
      <x:c r="I68" s="54" t="str"/>
      <x:c r="J68" s="58" t="str"/>
    </x:row>
    <x:row r="69">
      <x:c r="A69" s="57" t="str">
        <x:v>EVD-0065</x:v>
      </x:c>
      <x:c r="B69" s="54" t="str">
        <x:v>HY-SVC-09</x:v>
      </x:c>
      <x:c r="C69" s="54" t="str">
        <x:v>测试/运行</x:v>
      </x:c>
      <x:c r="D69" s="54" t="str">
        <x:v>事件总线和补偿控制台-测试/运行证据</x:v>
      </x:c>
      <x:c r="E69" s="54" t="str">
        <x:v>集成/数据服务组</x:v>
      </x:c>
      <x:c r="F69" s="54" t="str">
        <x:v>V1.0</x:v>
      </x:c>
      <x:c r="G69" s="54" t="str"/>
      <x:c r="H69" s="54" t="str">
        <x:v>未归档</x:v>
      </x:c>
      <x:c r="I69" s="54" t="str"/>
      <x:c r="J69" s="58" t="str"/>
    </x:row>
    <x:row r="70">
      <x:c r="A70" s="57" t="str">
        <x:v>EVD-0066</x:v>
      </x:c>
      <x:c r="B70" s="54" t="str">
        <x:v>HY-SVC-09</x:v>
      </x:c>
      <x:c r="C70" s="54" t="str">
        <x:v>业务签字</x:v>
      </x:c>
      <x:c r="D70" s="54" t="str">
        <x:v>事件总线和补偿控制台-业务签字证据</x:v>
      </x:c>
      <x:c r="E70" s="54" t="str">
        <x:v>集成/数据服务组</x:v>
      </x:c>
      <x:c r="F70" s="54" t="str">
        <x:v>V1.0</x:v>
      </x:c>
      <x:c r="G70" s="54" t="str"/>
      <x:c r="H70" s="54" t="str">
        <x:v>未归档</x:v>
      </x:c>
      <x:c r="I70" s="54" t="str"/>
      <x:c r="J70" s="58" t="str"/>
    </x:row>
    <x:row r="71">
      <x:c r="A71" s="57" t="str">
        <x:v>EVD-0067</x:v>
      </x:c>
      <x:c r="B71" s="54" t="str">
        <x:v>HY-SVC-10</x:v>
      </x:c>
      <x:c r="C71" s="54" t="str">
        <x:v>设计/配置</x:v>
      </x:c>
      <x:c r="D71" s="54" t="str">
        <x:v>API网关和服务治理-设计/配置证据</x:v>
      </x:c>
      <x:c r="E71" s="54" t="str">
        <x:v>集成/数据服务组</x:v>
      </x:c>
      <x:c r="F71" s="54" t="str">
        <x:v>V1.0</x:v>
      </x:c>
      <x:c r="G71" s="54" t="str"/>
      <x:c r="H71" s="54" t="str">
        <x:v>未归档</x:v>
      </x:c>
      <x:c r="I71" s="54" t="str"/>
      <x:c r="J71" s="58" t="str"/>
    </x:row>
    <x:row r="72">
      <x:c r="A72" s="57" t="str">
        <x:v>EVD-0068</x:v>
      </x:c>
      <x:c r="B72" s="54" t="str">
        <x:v>HY-SVC-10</x:v>
      </x:c>
      <x:c r="C72" s="54" t="str">
        <x:v>测试/运行</x:v>
      </x:c>
      <x:c r="D72" s="54" t="str">
        <x:v>API网关和服务治理-测试/运行证据</x:v>
      </x:c>
      <x:c r="E72" s="54" t="str">
        <x:v>集成/数据服务组</x:v>
      </x:c>
      <x:c r="F72" s="54" t="str">
        <x:v>V1.0</x:v>
      </x:c>
      <x:c r="G72" s="54" t="str"/>
      <x:c r="H72" s="54" t="str">
        <x:v>未归档</x:v>
      </x:c>
      <x:c r="I72" s="54" t="str"/>
      <x:c r="J72" s="58" t="str"/>
    </x:row>
    <x:row r="73">
      <x:c r="A73" s="57" t="str">
        <x:v>EVD-0069</x:v>
      </x:c>
      <x:c r="B73" s="54" t="str">
        <x:v>HY-SVC-10</x:v>
      </x:c>
      <x:c r="C73" s="54" t="str">
        <x:v>业务签字</x:v>
      </x:c>
      <x:c r="D73" s="54" t="str">
        <x:v>API网关和服务治理-业务签字证据</x:v>
      </x:c>
      <x:c r="E73" s="54" t="str">
        <x:v>集成/数据服务组</x:v>
      </x:c>
      <x:c r="F73" s="54" t="str">
        <x:v>V1.0</x:v>
      </x:c>
      <x:c r="G73" s="54" t="str"/>
      <x:c r="H73" s="54" t="str">
        <x:v>未归档</x:v>
      </x:c>
      <x:c r="I73" s="54" t="str"/>
      <x:c r="J73" s="58" t="str"/>
    </x:row>
    <x:row r="74">
      <x:c r="A74" s="57" t="str">
        <x:v>EVD-0070</x:v>
      </x:c>
      <x:c r="B74" s="54" t="str">
        <x:v>HY-ARC-01</x:v>
      </x:c>
      <x:c r="C74" s="54" t="str">
        <x:v>设计/配置</x:v>
      </x:c>
      <x:c r="D74" s="54" t="str">
        <x:v>集成平台、事件总线、网关和服务注册-设计/配置证据</x:v>
      </x:c>
      <x:c r="E74" s="54" t="str">
        <x:v>平台架构/运维组</x:v>
      </x:c>
      <x:c r="F74" s="54" t="str">
        <x:v>V1.0</x:v>
      </x:c>
      <x:c r="G74" s="54" t="str"/>
      <x:c r="H74" s="54" t="str">
        <x:v>未归档</x:v>
      </x:c>
      <x:c r="I74" s="54" t="str"/>
      <x:c r="J74" s="58" t="str"/>
    </x:row>
    <x:row r="75">
      <x:c r="A75" s="57" t="str">
        <x:v>EVD-0071</x:v>
      </x:c>
      <x:c r="B75" s="54" t="str">
        <x:v>HY-ARC-01</x:v>
      </x:c>
      <x:c r="C75" s="54" t="str">
        <x:v>测试/运行</x:v>
      </x:c>
      <x:c r="D75" s="54" t="str">
        <x:v>集成平台、事件总线、网关和服务注册-测试/运行证据</x:v>
      </x:c>
      <x:c r="E75" s="54" t="str">
        <x:v>平台架构/运维组</x:v>
      </x:c>
      <x:c r="F75" s="54" t="str">
        <x:v>V1.0</x:v>
      </x:c>
      <x:c r="G75" s="54" t="str"/>
      <x:c r="H75" s="54" t="str">
        <x:v>未归档</x:v>
      </x:c>
      <x:c r="I75" s="54" t="str"/>
      <x:c r="J75" s="58" t="str"/>
    </x:row>
    <x:row r="76">
      <x:c r="A76" s="57" t="str">
        <x:v>EVD-0072</x:v>
      </x:c>
      <x:c r="B76" s="54" t="str">
        <x:v>HY-ARC-01</x:v>
      </x:c>
      <x:c r="C76" s="54" t="str">
        <x:v>业务签字</x:v>
      </x:c>
      <x:c r="D76" s="54" t="str">
        <x:v>集成平台、事件总线、网关和服务注册-业务签字证据</x:v>
      </x:c>
      <x:c r="E76" s="54" t="str">
        <x:v>平台架构/运维组</x:v>
      </x:c>
      <x:c r="F76" s="54" t="str">
        <x:v>V1.0</x:v>
      </x:c>
      <x:c r="G76" s="54" t="str"/>
      <x:c r="H76" s="54" t="str">
        <x:v>未归档</x:v>
      </x:c>
      <x:c r="I76" s="54" t="str"/>
      <x:c r="J76" s="58" t="str"/>
    </x:row>
    <x:row r="77">
      <x:c r="A77" s="57" t="str">
        <x:v>EVD-0073</x:v>
      </x:c>
      <x:c r="B77" s="54" t="str">
        <x:v>HY-ARC-02</x:v>
      </x:c>
      <x:c r="C77" s="54" t="str">
        <x:v>设计/配置</x:v>
      </x:c>
      <x:c r="D77" s="54" t="str">
        <x:v>接入清单、资产与接口目录-设计/配置证据</x:v>
      </x:c>
      <x:c r="E77" s="54" t="str">
        <x:v>平台架构/运维组</x:v>
      </x:c>
      <x:c r="F77" s="54" t="str">
        <x:v>V1.0</x:v>
      </x:c>
      <x:c r="G77" s="54" t="str"/>
      <x:c r="H77" s="54" t="str">
        <x:v>未归档</x:v>
      </x:c>
      <x:c r="I77" s="54" t="str"/>
      <x:c r="J77" s="58" t="str"/>
    </x:row>
    <x:row r="78">
      <x:c r="A78" s="57" t="str">
        <x:v>EVD-0074</x:v>
      </x:c>
      <x:c r="B78" s="54" t="str">
        <x:v>HY-ARC-02</x:v>
      </x:c>
      <x:c r="C78" s="54" t="str">
        <x:v>测试/运行</x:v>
      </x:c>
      <x:c r="D78" s="54" t="str">
        <x:v>接入清单、资产与接口目录-测试/运行证据</x:v>
      </x:c>
      <x:c r="E78" s="54" t="str">
        <x:v>平台架构/运维组</x:v>
      </x:c>
      <x:c r="F78" s="54" t="str">
        <x:v>V1.0</x:v>
      </x:c>
      <x:c r="G78" s="54" t="str"/>
      <x:c r="H78" s="54" t="str">
        <x:v>未归档</x:v>
      </x:c>
      <x:c r="I78" s="54" t="str"/>
      <x:c r="J78" s="58" t="str"/>
    </x:row>
    <x:row r="79">
      <x:c r="A79" s="57" t="str">
        <x:v>EVD-0075</x:v>
      </x:c>
      <x:c r="B79" s="54" t="str">
        <x:v>HY-ARC-02</x:v>
      </x:c>
      <x:c r="C79" s="54" t="str">
        <x:v>业务签字</x:v>
      </x:c>
      <x:c r="D79" s="54" t="str">
        <x:v>接入清单、资产与接口目录-业务签字证据</x:v>
      </x:c>
      <x:c r="E79" s="54" t="str">
        <x:v>平台架构/运维组</x:v>
      </x:c>
      <x:c r="F79" s="54" t="str">
        <x:v>V1.0</x:v>
      </x:c>
      <x:c r="G79" s="54" t="str"/>
      <x:c r="H79" s="54" t="str">
        <x:v>未归档</x:v>
      </x:c>
      <x:c r="I79" s="54" t="str"/>
      <x:c r="J79" s="58" t="str"/>
    </x:row>
    <x:row r="80">
      <x:c r="A80" s="57" t="str">
        <x:v>EVD-0076</x:v>
      </x:c>
      <x:c r="B80" s="54" t="str">
        <x:v>HY-ARC-03</x:v>
      </x:c>
      <x:c r="C80" s="54" t="str">
        <x:v>设计/配置</x:v>
      </x:c>
      <x:c r="D80" s="54" t="str">
        <x:v>字段级血缘和调用链-设计/配置证据</x:v>
      </x:c>
      <x:c r="E80" s="54" t="str">
        <x:v>平台架构/运维组</x:v>
      </x:c>
      <x:c r="F80" s="54" t="str">
        <x:v>V1.0</x:v>
      </x:c>
      <x:c r="G80" s="54" t="str"/>
      <x:c r="H80" s="54" t="str">
        <x:v>未归档</x:v>
      </x:c>
      <x:c r="I80" s="54" t="str"/>
      <x:c r="J80" s="58" t="str"/>
    </x:row>
    <x:row r="81">
      <x:c r="A81" s="57" t="str">
        <x:v>EVD-0077</x:v>
      </x:c>
      <x:c r="B81" s="54" t="str">
        <x:v>HY-ARC-03</x:v>
      </x:c>
      <x:c r="C81" s="54" t="str">
        <x:v>测试/运行</x:v>
      </x:c>
      <x:c r="D81" s="54" t="str">
        <x:v>字段级血缘和调用链-测试/运行证据</x:v>
      </x:c>
      <x:c r="E81" s="54" t="str">
        <x:v>平台架构/运维组</x:v>
      </x:c>
      <x:c r="F81" s="54" t="str">
        <x:v>V1.0</x:v>
      </x:c>
      <x:c r="G81" s="54" t="str"/>
      <x:c r="H81" s="54" t="str">
        <x:v>未归档</x:v>
      </x:c>
      <x:c r="I81" s="54" t="str"/>
      <x:c r="J81" s="58" t="str"/>
    </x:row>
    <x:row r="82">
      <x:c r="A82" s="57" t="str">
        <x:v>EVD-0078</x:v>
      </x:c>
      <x:c r="B82" s="54" t="str">
        <x:v>HY-ARC-03</x:v>
      </x:c>
      <x:c r="C82" s="54" t="str">
        <x:v>业务签字</x:v>
      </x:c>
      <x:c r="D82" s="54" t="str">
        <x:v>字段级血缘和调用链-业务签字证据</x:v>
      </x:c>
      <x:c r="E82" s="54" t="str">
        <x:v>平台架构/运维组</x:v>
      </x:c>
      <x:c r="F82" s="54" t="str">
        <x:v>V1.0</x:v>
      </x:c>
      <x:c r="G82" s="54" t="str"/>
      <x:c r="H82" s="54" t="str">
        <x:v>未归档</x:v>
      </x:c>
      <x:c r="I82" s="54" t="str"/>
      <x:c r="J82" s="58" t="str"/>
    </x:row>
    <x:row r="83">
      <x:c r="A83" s="57" t="str">
        <x:v>EVD-0079</x:v>
      </x:c>
      <x:c r="B83" s="54" t="str">
        <x:v>HY-ARC-04</x:v>
      </x:c>
      <x:c r="C83" s="54" t="str">
        <x:v>设计/配置</x:v>
      </x:c>
      <x:c r="D83" s="54" t="str">
        <x:v>CDC/ETL/消息和隔离区-设计/配置证据</x:v>
      </x:c>
      <x:c r="E83" s="54" t="str">
        <x:v>平台架构/运维组</x:v>
      </x:c>
      <x:c r="F83" s="54" t="str">
        <x:v>V1.0</x:v>
      </x:c>
      <x:c r="G83" s="54" t="str"/>
      <x:c r="H83" s="54" t="str">
        <x:v>未归档</x:v>
      </x:c>
      <x:c r="I83" s="54" t="str"/>
      <x:c r="J83" s="58" t="str"/>
    </x:row>
    <x:row r="84">
      <x:c r="A84" s="57" t="str">
        <x:v>EVD-0080</x:v>
      </x:c>
      <x:c r="B84" s="54" t="str">
        <x:v>HY-ARC-04</x:v>
      </x:c>
      <x:c r="C84" s="54" t="str">
        <x:v>测试/运行</x:v>
      </x:c>
      <x:c r="D84" s="54" t="str">
        <x:v>CDC/ETL/消息和隔离区-测试/运行证据</x:v>
      </x:c>
      <x:c r="E84" s="54" t="str">
        <x:v>平台架构/运维组</x:v>
      </x:c>
      <x:c r="F84" s="54" t="str">
        <x:v>V1.0</x:v>
      </x:c>
      <x:c r="G84" s="54" t="str"/>
      <x:c r="H84" s="54" t="str">
        <x:v>未归档</x:v>
      </x:c>
      <x:c r="I84" s="54" t="str"/>
      <x:c r="J84" s="58" t="str"/>
    </x:row>
    <x:row r="85">
      <x:c r="A85" s="57" t="str">
        <x:v>EVD-0081</x:v>
      </x:c>
      <x:c r="B85" s="54" t="str">
        <x:v>HY-ARC-04</x:v>
      </x:c>
      <x:c r="C85" s="54" t="str">
        <x:v>业务签字</x:v>
      </x:c>
      <x:c r="D85" s="54" t="str">
        <x:v>CDC/ETL/消息和隔离区-业务签字证据</x:v>
      </x:c>
      <x:c r="E85" s="54" t="str">
        <x:v>平台架构/运维组</x:v>
      </x:c>
      <x:c r="F85" s="54" t="str">
        <x:v>V1.0</x:v>
      </x:c>
      <x:c r="G85" s="54" t="str"/>
      <x:c r="H85" s="54" t="str">
        <x:v>未归档</x:v>
      </x:c>
      <x:c r="I85" s="54" t="str"/>
      <x:c r="J85" s="58" t="str"/>
    </x:row>
    <x:row r="86">
      <x:c r="A86" s="57" t="str">
        <x:v>EVD-0082</x:v>
      </x:c>
      <x:c r="B86" s="54" t="str">
        <x:v>HY-ARC-05</x:v>
      </x:c>
      <x:c r="C86" s="54" t="str">
        <x:v>设计/配置</x:v>
      </x:c>
      <x:c r="D86" s="54" t="str">
        <x:v>集群、备份、RPO/RTO和演练-设计/配置证据</x:v>
      </x:c>
      <x:c r="E86" s="54" t="str">
        <x:v>平台架构/运维组</x:v>
      </x:c>
      <x:c r="F86" s="54" t="str">
        <x:v>V1.0</x:v>
      </x:c>
      <x:c r="G86" s="54" t="str"/>
      <x:c r="H86" s="54" t="str">
        <x:v>未归档</x:v>
      </x:c>
      <x:c r="I86" s="54" t="str"/>
      <x:c r="J86" s="58" t="str"/>
    </x:row>
    <x:row r="87">
      <x:c r="A87" s="57" t="str">
        <x:v>EVD-0083</x:v>
      </x:c>
      <x:c r="B87" s="54" t="str">
        <x:v>HY-ARC-05</x:v>
      </x:c>
      <x:c r="C87" s="54" t="str">
        <x:v>测试/运行</x:v>
      </x:c>
      <x:c r="D87" s="54" t="str">
        <x:v>集群、备份、RPO/RTO和演练-测试/运行证据</x:v>
      </x:c>
      <x:c r="E87" s="54" t="str">
        <x:v>平台架构/运维组</x:v>
      </x:c>
      <x:c r="F87" s="54" t="str">
        <x:v>V1.0</x:v>
      </x:c>
      <x:c r="G87" s="54" t="str"/>
      <x:c r="H87" s="54" t="str">
        <x:v>未归档</x:v>
      </x:c>
      <x:c r="I87" s="54" t="str"/>
      <x:c r="J87" s="58" t="str"/>
    </x:row>
    <x:row r="88">
      <x:c r="A88" s="57" t="str">
        <x:v>EVD-0084</x:v>
      </x:c>
      <x:c r="B88" s="54" t="str">
        <x:v>HY-ARC-05</x:v>
      </x:c>
      <x:c r="C88" s="54" t="str">
        <x:v>业务签字</x:v>
      </x:c>
      <x:c r="D88" s="54" t="str">
        <x:v>集群、备份、RPO/RTO和演练-业务签字证据</x:v>
      </x:c>
      <x:c r="E88" s="54" t="str">
        <x:v>平台架构/运维组</x:v>
      </x:c>
      <x:c r="F88" s="54" t="str">
        <x:v>V1.0</x:v>
      </x:c>
      <x:c r="G88" s="54" t="str"/>
      <x:c r="H88" s="54" t="str">
        <x:v>未归档</x:v>
      </x:c>
      <x:c r="I88" s="54" t="str"/>
      <x:c r="J88" s="58" t="str"/>
    </x:row>
    <x:row r="89">
      <x:c r="A89" s="57" t="str">
        <x:v>EVD-0085</x:v>
      </x:c>
      <x:c r="B89" s="54" t="str">
        <x:v>HY-APP-01</x:v>
      </x:c>
      <x:c r="C89" s="54" t="str">
        <x:v>设计/配置</x:v>
      </x:c>
      <x:c r="D89" s="54" t="str">
        <x:v>患者服务数据/API目录-设计/配置证据</x:v>
      </x:c>
      <x:c r="E89" s="54" t="str">
        <x:v>患者服务部</x:v>
      </x:c>
      <x:c r="F89" s="54" t="str">
        <x:v>V1.0</x:v>
      </x:c>
      <x:c r="G89" s="54" t="str"/>
      <x:c r="H89" s="54" t="str">
        <x:v>未归档</x:v>
      </x:c>
      <x:c r="I89" s="54" t="str"/>
      <x:c r="J89" s="58" t="str"/>
    </x:row>
    <x:row r="90">
      <x:c r="A90" s="57" t="str">
        <x:v>EVD-0086</x:v>
      </x:c>
      <x:c r="B90" s="54" t="str">
        <x:v>HY-APP-01</x:v>
      </x:c>
      <x:c r="C90" s="54" t="str">
        <x:v>测试/运行</x:v>
      </x:c>
      <x:c r="D90" s="54" t="str">
        <x:v>患者服务数据/API目录-测试/运行证据</x:v>
      </x:c>
      <x:c r="E90" s="54" t="str">
        <x:v>患者服务部</x:v>
      </x:c>
      <x:c r="F90" s="54" t="str">
        <x:v>V1.0</x:v>
      </x:c>
      <x:c r="G90" s="54" t="str"/>
      <x:c r="H90" s="54" t="str">
        <x:v>未归档</x:v>
      </x:c>
      <x:c r="I90" s="54" t="str"/>
      <x:c r="J90" s="58" t="str"/>
    </x:row>
    <x:row r="91">
      <x:c r="A91" s="57" t="str">
        <x:v>EVD-0087</x:v>
      </x:c>
      <x:c r="B91" s="54" t="str">
        <x:v>HY-APP-01</x:v>
      </x:c>
      <x:c r="C91" s="54" t="str">
        <x:v>业务签字</x:v>
      </x:c>
      <x:c r="D91" s="54" t="str">
        <x:v>患者服务数据/API目录-业务签字证据</x:v>
      </x:c>
      <x:c r="E91" s="54" t="str">
        <x:v>患者服务部</x:v>
      </x:c>
      <x:c r="F91" s="54" t="str">
        <x:v>V1.0</x:v>
      </x:c>
      <x:c r="G91" s="54" t="str"/>
      <x:c r="H91" s="54" t="str">
        <x:v>未归档</x:v>
      </x:c>
      <x:c r="I91" s="54" t="str"/>
      <x:c r="J91" s="58" t="str"/>
    </x:row>
    <x:row r="92">
      <x:c r="A92" s="57" t="str">
        <x:v>EVD-0088</x:v>
      </x:c>
      <x:c r="B92" s="54" t="str">
        <x:v>HY-APP-02</x:v>
      </x:c>
      <x:c r="C92" s="54" t="str">
        <x:v>设计/配置</x:v>
      </x:c>
      <x:c r="D92" s="54" t="str">
        <x:v>CDR、数据服务和闭环-设计/配置证据</x:v>
      </x:c>
      <x:c r="E92" s="54" t="str">
        <x:v>医务部/护理部</x:v>
      </x:c>
      <x:c r="F92" s="54" t="str">
        <x:v>V1.0</x:v>
      </x:c>
      <x:c r="G92" s="54" t="str"/>
      <x:c r="H92" s="54" t="str">
        <x:v>未归档</x:v>
      </x:c>
      <x:c r="I92" s="54" t="str"/>
      <x:c r="J92" s="58" t="str"/>
    </x:row>
    <x:row r="93">
      <x:c r="A93" s="57" t="str">
        <x:v>EVD-0089</x:v>
      </x:c>
      <x:c r="B93" s="54" t="str">
        <x:v>HY-APP-02</x:v>
      </x:c>
      <x:c r="C93" s="54" t="str">
        <x:v>测试/运行</x:v>
      </x:c>
      <x:c r="D93" s="54" t="str">
        <x:v>CDR、数据服务和闭环-测试/运行证据</x:v>
      </x:c>
      <x:c r="E93" s="54" t="str">
        <x:v>医务部/护理部</x:v>
      </x:c>
      <x:c r="F93" s="54" t="str">
        <x:v>V1.0</x:v>
      </x:c>
      <x:c r="G93" s="54" t="str"/>
      <x:c r="H93" s="54" t="str">
        <x:v>未归档</x:v>
      </x:c>
      <x:c r="I93" s="54" t="str"/>
      <x:c r="J93" s="58" t="str"/>
    </x:row>
    <x:row r="94">
      <x:c r="A94" s="57" t="str">
        <x:v>EVD-0090</x:v>
      </x:c>
      <x:c r="B94" s="54" t="str">
        <x:v>HY-APP-02</x:v>
      </x:c>
      <x:c r="C94" s="54" t="str">
        <x:v>业务签字</x:v>
      </x:c>
      <x:c r="D94" s="54" t="str">
        <x:v>CDR、数据服务和闭环-业务签字证据</x:v>
      </x:c>
      <x:c r="E94" s="54" t="str">
        <x:v>医务部/护理部</x:v>
      </x:c>
      <x:c r="F94" s="54" t="str">
        <x:v>V1.0</x:v>
      </x:c>
      <x:c r="G94" s="54" t="str"/>
      <x:c r="H94" s="54" t="str">
        <x:v>未归档</x:v>
      </x:c>
      <x:c r="I94" s="54" t="str"/>
      <x:c r="J94" s="58" t="str"/>
    </x:row>
    <x:row r="95">
      <x:c r="A95" s="57" t="str">
        <x:v>EVD-0091</x:v>
      </x:c>
      <x:c r="B95" s="54" t="str">
        <x:v>HY-APP-03</x:v>
      </x:c>
      <x:c r="C95" s="54" t="str">
        <x:v>设计/配置</x:v>
      </x:c>
      <x:c r="D95" s="54" t="str">
        <x:v>闭环引擎和场景包-设计/配置证据</x:v>
      </x:c>
      <x:c r="E95" s="54" t="str">
        <x:v>医务部/护理部</x:v>
      </x:c>
      <x:c r="F95" s="54" t="str">
        <x:v>V1.0</x:v>
      </x:c>
      <x:c r="G95" s="54" t="str"/>
      <x:c r="H95" s="54" t="str">
        <x:v>未归档</x:v>
      </x:c>
      <x:c r="I95" s="54" t="str"/>
      <x:c r="J95" s="58" t="str"/>
    </x:row>
    <x:row r="96">
      <x:c r="A96" s="57" t="str">
        <x:v>EVD-0092</x:v>
      </x:c>
      <x:c r="B96" s="54" t="str">
        <x:v>HY-APP-03</x:v>
      </x:c>
      <x:c r="C96" s="54" t="str">
        <x:v>测试/运行</x:v>
      </x:c>
      <x:c r="D96" s="54" t="str">
        <x:v>闭环引擎和场景包-测试/运行证据</x:v>
      </x:c>
      <x:c r="E96" s="54" t="str">
        <x:v>医务部/护理部</x:v>
      </x:c>
      <x:c r="F96" s="54" t="str">
        <x:v>V1.0</x:v>
      </x:c>
      <x:c r="G96" s="54" t="str"/>
      <x:c r="H96" s="54" t="str">
        <x:v>未归档</x:v>
      </x:c>
      <x:c r="I96" s="54" t="str"/>
      <x:c r="J96" s="58" t="str"/>
    </x:row>
    <x:row r="97">
      <x:c r="A97" s="57" t="str">
        <x:v>EVD-0093</x:v>
      </x:c>
      <x:c r="B97" s="54" t="str">
        <x:v>HY-APP-03</x:v>
      </x:c>
      <x:c r="C97" s="54" t="str">
        <x:v>业务签字</x:v>
      </x:c>
      <x:c r="D97" s="54" t="str">
        <x:v>闭环引擎和场景包-业务签字证据</x:v>
      </x:c>
      <x:c r="E97" s="54" t="str">
        <x:v>医务部/护理部</x:v>
      </x:c>
      <x:c r="F97" s="54" t="str">
        <x:v>V1.0</x:v>
      </x:c>
      <x:c r="G97" s="54" t="str"/>
      <x:c r="H97" s="54" t="str">
        <x:v>未归档</x:v>
      </x:c>
      <x:c r="I97" s="54" t="str"/>
      <x:c r="J97" s="58" t="str"/>
    </x:row>
    <x:row r="98">
      <x:c r="A98" s="57" t="str">
        <x:v>EVD-0094</x:v>
      </x:c>
      <x:c r="B98" s="54" t="str">
        <x:v>HY-APP-04</x:v>
      </x:c>
      <x:c r="C98" s="54" t="str">
        <x:v>设计/配置</x:v>
      </x:c>
      <x:c r="D98" s="54" t="str">
        <x:v>知识/规则平台-设计/配置证据</x:v>
      </x:c>
      <x:c r="E98" s="54" t="str">
        <x:v>医务部/药学部</x:v>
      </x:c>
      <x:c r="F98" s="54" t="str">
        <x:v>V1.0</x:v>
      </x:c>
      <x:c r="G98" s="54" t="str"/>
      <x:c r="H98" s="54" t="str">
        <x:v>未归档</x:v>
      </x:c>
      <x:c r="I98" s="54" t="str"/>
      <x:c r="J98" s="58" t="str"/>
    </x:row>
    <x:row r="99">
      <x:c r="A99" s="57" t="str">
        <x:v>EVD-0095</x:v>
      </x:c>
      <x:c r="B99" s="54" t="str">
        <x:v>HY-APP-04</x:v>
      </x:c>
      <x:c r="C99" s="54" t="str">
        <x:v>测试/运行</x:v>
      </x:c>
      <x:c r="D99" s="54" t="str">
        <x:v>知识/规则平台-测试/运行证据</x:v>
      </x:c>
      <x:c r="E99" s="54" t="str">
        <x:v>医务部/药学部</x:v>
      </x:c>
      <x:c r="F99" s="54" t="str">
        <x:v>V1.0</x:v>
      </x:c>
      <x:c r="G99" s="54" t="str"/>
      <x:c r="H99" s="54" t="str">
        <x:v>未归档</x:v>
      </x:c>
      <x:c r="I99" s="54" t="str"/>
      <x:c r="J99" s="58" t="str"/>
    </x:row>
    <x:row r="100">
      <x:c r="A100" s="57" t="str">
        <x:v>EVD-0096</x:v>
      </x:c>
      <x:c r="B100" s="54" t="str">
        <x:v>HY-APP-04</x:v>
      </x:c>
      <x:c r="C100" s="54" t="str">
        <x:v>业务签字</x:v>
      </x:c>
      <x:c r="D100" s="54" t="str">
        <x:v>知识/规则平台-业务签字证据</x:v>
      </x:c>
      <x:c r="E100" s="54" t="str">
        <x:v>医务部/药学部</x:v>
      </x:c>
      <x:c r="F100" s="54" t="str">
        <x:v>V1.0</x:v>
      </x:c>
      <x:c r="G100" s="54" t="str"/>
      <x:c r="H100" s="54" t="str">
        <x:v>未归档</x:v>
      </x:c>
      <x:c r="I100" s="54" t="str"/>
      <x:c r="J100" s="58" t="str"/>
    </x:row>
    <x:row r="101">
      <x:c r="A101" s="57" t="str">
        <x:v>EVD-0097</x:v>
      </x:c>
      <x:c r="B101" s="54" t="str">
        <x:v>HY-APP-05</x:v>
      </x:c>
      <x:c r="C101" s="54" t="str">
        <x:v>设计/配置</x:v>
      </x:c>
      <x:c r="D101" s="54" t="str">
        <x:v>规则、仿真和反馈-设计/配置证据</x:v>
      </x:c>
      <x:c r="E101" s="54" t="str">
        <x:v>医务部</x:v>
      </x:c>
      <x:c r="F101" s="54" t="str">
        <x:v>V1.0</x:v>
      </x:c>
      <x:c r="G101" s="54" t="str"/>
      <x:c r="H101" s="54" t="str">
        <x:v>未归档</x:v>
      </x:c>
      <x:c r="I101" s="54" t="str"/>
      <x:c r="J101" s="58" t="str"/>
    </x:row>
    <x:row r="102">
      <x:c r="A102" s="57" t="str">
        <x:v>EVD-0098</x:v>
      </x:c>
      <x:c r="B102" s="54" t="str">
        <x:v>HY-APP-05</x:v>
      </x:c>
      <x:c r="C102" s="54" t="str">
        <x:v>测试/运行</x:v>
      </x:c>
      <x:c r="D102" s="54" t="str">
        <x:v>规则、仿真和反馈-测试/运行证据</x:v>
      </x:c>
      <x:c r="E102" s="54" t="str">
        <x:v>医务部</x:v>
      </x:c>
      <x:c r="F102" s="54" t="str">
        <x:v>V1.0</x:v>
      </x:c>
      <x:c r="G102" s="54" t="str"/>
      <x:c r="H102" s="54" t="str">
        <x:v>未归档</x:v>
      </x:c>
      <x:c r="I102" s="54" t="str"/>
      <x:c r="J102" s="58" t="str"/>
    </x:row>
    <x:row r="103">
      <x:c r="A103" s="57" t="str">
        <x:v>EVD-0099</x:v>
      </x:c>
      <x:c r="B103" s="54" t="str">
        <x:v>HY-APP-05</x:v>
      </x:c>
      <x:c r="C103" s="54" t="str">
        <x:v>业务签字</x:v>
      </x:c>
      <x:c r="D103" s="54" t="str">
        <x:v>规则、仿真和反馈-业务签字证据</x:v>
      </x:c>
      <x:c r="E103" s="54" t="str">
        <x:v>医务部</x:v>
      </x:c>
      <x:c r="F103" s="54" t="str">
        <x:v>V1.0</x:v>
      </x:c>
      <x:c r="G103" s="54" t="str"/>
      <x:c r="H103" s="54" t="str">
        <x:v>未归档</x:v>
      </x:c>
      <x:c r="I103" s="54" t="str"/>
      <x:c r="J103" s="58" t="str"/>
    </x:row>
    <x:row r="104">
      <x:c r="A104" s="57" t="str">
        <x:v>EVD-0100</x:v>
      </x:c>
      <x:c r="B104" s="54" t="str">
        <x:v>HY-APP-06</x:v>
      </x:c>
      <x:c r="C104" s="54" t="str">
        <x:v>设计/配置</x:v>
      </x:c>
      <x:c r="D104" s="54" t="str">
        <x:v>指标中心和数据集市-设计/配置证据</x:v>
      </x:c>
      <x:c r="E104" s="54" t="str">
        <x:v>运营管理部</x:v>
      </x:c>
      <x:c r="F104" s="54" t="str">
        <x:v>V1.0</x:v>
      </x:c>
      <x:c r="G104" s="54" t="str"/>
      <x:c r="H104" s="54" t="str">
        <x:v>未归档</x:v>
      </x:c>
      <x:c r="I104" s="54" t="str"/>
      <x:c r="J104" s="58" t="str"/>
    </x:row>
    <x:row r="105">
      <x:c r="A105" s="57" t="str">
        <x:v>EVD-0101</x:v>
      </x:c>
      <x:c r="B105" s="54" t="str">
        <x:v>HY-APP-06</x:v>
      </x:c>
      <x:c r="C105" s="54" t="str">
        <x:v>测试/运行</x:v>
      </x:c>
      <x:c r="D105" s="54" t="str">
        <x:v>指标中心和数据集市-测试/运行证据</x:v>
      </x:c>
      <x:c r="E105" s="54" t="str">
        <x:v>运营管理部</x:v>
      </x:c>
      <x:c r="F105" s="54" t="str">
        <x:v>V1.0</x:v>
      </x:c>
      <x:c r="G105" s="54" t="str"/>
      <x:c r="H105" s="54" t="str">
        <x:v>未归档</x:v>
      </x:c>
      <x:c r="I105" s="54" t="str"/>
      <x:c r="J105" s="58" t="str"/>
    </x:row>
    <x:row r="106">
      <x:c r="A106" s="57" t="str">
        <x:v>EVD-0102</x:v>
      </x:c>
      <x:c r="B106" s="54" t="str">
        <x:v>HY-APP-06</x:v>
      </x:c>
      <x:c r="C106" s="54" t="str">
        <x:v>业务签字</x:v>
      </x:c>
      <x:c r="D106" s="54" t="str">
        <x:v>指标中心和数据集市-业务签字证据</x:v>
      </x:c>
      <x:c r="E106" s="54" t="str">
        <x:v>运营管理部</x:v>
      </x:c>
      <x:c r="F106" s="54" t="str">
        <x:v>V1.0</x:v>
      </x:c>
      <x:c r="G106" s="54" t="str"/>
      <x:c r="H106" s="54" t="str">
        <x:v>未归档</x:v>
      </x:c>
      <x:c r="I106" s="54" t="str"/>
      <x:c r="J106" s="58" t="str"/>
    </x:row>
    <x:row r="107">
      <x:c r="A107" s="57" t="str">
        <x:v>EVD-0103</x:v>
      </x:c>
      <x:c r="B107" s="54" t="str">
        <x:v>HY-APP-07</x:v>
      </x:c>
      <x:c r="C107" s="54" t="str">
        <x:v>设计/配置</x:v>
      </x:c>
      <x:c r="D107" s="54" t="str">
        <x:v>科研数据集、队列和审批-设计/配置证据</x:v>
      </x:c>
      <x:c r="E107" s="54" t="str">
        <x:v>科研部</x:v>
      </x:c>
      <x:c r="F107" s="54" t="str">
        <x:v>V1.0</x:v>
      </x:c>
      <x:c r="G107" s="54" t="str"/>
      <x:c r="H107" s="54" t="str">
        <x:v>未归档</x:v>
      </x:c>
      <x:c r="I107" s="54" t="str"/>
      <x:c r="J107" s="58" t="str"/>
    </x:row>
    <x:row r="108">
      <x:c r="A108" s="57" t="str">
        <x:v>EVD-0104</x:v>
      </x:c>
      <x:c r="B108" s="54" t="str">
        <x:v>HY-APP-07</x:v>
      </x:c>
      <x:c r="C108" s="54" t="str">
        <x:v>测试/运行</x:v>
      </x:c>
      <x:c r="D108" s="54" t="str">
        <x:v>科研数据集、队列和审批-测试/运行证据</x:v>
      </x:c>
      <x:c r="E108" s="54" t="str">
        <x:v>科研部</x:v>
      </x:c>
      <x:c r="F108" s="54" t="str">
        <x:v>V1.0</x:v>
      </x:c>
      <x:c r="G108" s="54" t="str"/>
      <x:c r="H108" s="54" t="str">
        <x:v>未归档</x:v>
      </x:c>
      <x:c r="I108" s="54" t="str"/>
      <x:c r="J108" s="58" t="str"/>
    </x:row>
    <x:row r="109">
      <x:c r="A109" s="57" t="str">
        <x:v>EVD-0105</x:v>
      </x:c>
      <x:c r="B109" s="54" t="str">
        <x:v>HY-APP-07</x:v>
      </x:c>
      <x:c r="C109" s="54" t="str">
        <x:v>业务签字</x:v>
      </x:c>
      <x:c r="D109" s="54" t="str">
        <x:v>科研数据集、队列和审批-业务签字证据</x:v>
      </x:c>
      <x:c r="E109" s="54" t="str">
        <x:v>科研部</x:v>
      </x:c>
      <x:c r="F109" s="54" t="str">
        <x:v>V1.0</x:v>
      </x:c>
      <x:c r="G109" s="54" t="str"/>
      <x:c r="H109" s="54" t="str">
        <x:v>未归档</x:v>
      </x:c>
      <x:c r="I109" s="54" t="str"/>
      <x:c r="J109" s="58" t="str"/>
    </x:row>
    <x:row r="110">
      <x:c r="A110" s="57" t="str">
        <x:v>EVD-0106</x:v>
      </x:c>
      <x:c r="B110" s="54" t="str">
        <x:v>HY-APP-08</x:v>
      </x:c>
      <x:c r="C110" s="54" t="str">
        <x:v>设计/配置</x:v>
      </x:c>
      <x:c r="D110" s="54" t="str">
        <x:v>区域/医联体适配和外联目录-设计/配置证据</x:v>
      </x:c>
      <x:c r="E110" s="54" t="str">
        <x:v>信息管理部</x:v>
      </x:c>
      <x:c r="F110" s="54" t="str">
        <x:v>V1.0</x:v>
      </x:c>
      <x:c r="G110" s="54" t="str"/>
      <x:c r="H110" s="54" t="str">
        <x:v>未归档</x:v>
      </x:c>
      <x:c r="I110" s="54" t="str"/>
      <x:c r="J110" s="58" t="str"/>
    </x:row>
    <x:row r="111">
      <x:c r="A111" s="57" t="str">
        <x:v>EVD-0107</x:v>
      </x:c>
      <x:c r="B111" s="54" t="str">
        <x:v>HY-APP-08</x:v>
      </x:c>
      <x:c r="C111" s="54" t="str">
        <x:v>测试/运行</x:v>
      </x:c>
      <x:c r="D111" s="54" t="str">
        <x:v>区域/医联体适配和外联目录-测试/运行证据</x:v>
      </x:c>
      <x:c r="E111" s="54" t="str">
        <x:v>信息管理部</x:v>
      </x:c>
      <x:c r="F111" s="54" t="str">
        <x:v>V1.0</x:v>
      </x:c>
      <x:c r="G111" s="54" t="str"/>
      <x:c r="H111" s="54" t="str">
        <x:v>未归档</x:v>
      </x:c>
      <x:c r="I111" s="54" t="str"/>
      <x:c r="J111" s="58" t="str"/>
    </x:row>
    <x:row r="112">
      <x:c r="A112" s="57" t="str">
        <x:v>EVD-0108</x:v>
      </x:c>
      <x:c r="B112" s="54" t="str">
        <x:v>HY-APP-08</x:v>
      </x:c>
      <x:c r="C112" s="54" t="str">
        <x:v>业务签字</x:v>
      </x:c>
      <x:c r="D112" s="54" t="str">
        <x:v>区域/医联体适配和外联目录-业务签字证据</x:v>
      </x:c>
      <x:c r="E112" s="54" t="str">
        <x:v>信息管理部</x:v>
      </x:c>
      <x:c r="F112" s="54" t="str">
        <x:v>V1.0</x:v>
      </x:c>
      <x:c r="G112" s="54" t="str"/>
      <x:c r="H112" s="54" t="str">
        <x:v>未归档</x:v>
      </x:c>
      <x:c r="I112" s="54" t="str"/>
      <x:c r="J112" s="58" t="str"/>
    </x:row>
    <x:row r="113">
      <x:c r="A113" s="57" t="str">
        <x:v>EVD-0109</x:v>
      </x:c>
      <x:c r="B113" s="54" t="str">
        <x:v>HY-APP-09</x:v>
      </x:c>
      <x:c r="C113" s="54" t="str">
        <x:v>设计/配置</x:v>
      </x:c>
      <x:c r="D113" s="54" t="str">
        <x:v>接入台账与覆盖看板-设计/配置证据</x:v>
      </x:c>
      <x:c r="E113" s="54" t="str">
        <x:v>信息管理部</x:v>
      </x:c>
      <x:c r="F113" s="54" t="str">
        <x:v>V1.0</x:v>
      </x:c>
      <x:c r="G113" s="54" t="str"/>
      <x:c r="H113" s="54" t="str">
        <x:v>未归档</x:v>
      </x:c>
      <x:c r="I113" s="54" t="str"/>
      <x:c r="J113" s="58" t="str"/>
    </x:row>
    <x:row r="114">
      <x:c r="A114" s="57" t="str">
        <x:v>EVD-0110</x:v>
      </x:c>
      <x:c r="B114" s="54" t="str">
        <x:v>HY-APP-09</x:v>
      </x:c>
      <x:c r="C114" s="54" t="str">
        <x:v>测试/运行</x:v>
      </x:c>
      <x:c r="D114" s="54" t="str">
        <x:v>接入台账与覆盖看板-测试/运行证据</x:v>
      </x:c>
      <x:c r="E114" s="54" t="str">
        <x:v>信息管理部</x:v>
      </x:c>
      <x:c r="F114" s="54" t="str">
        <x:v>V1.0</x:v>
      </x:c>
      <x:c r="G114" s="54" t="str"/>
      <x:c r="H114" s="54" t="str">
        <x:v>未归档</x:v>
      </x:c>
      <x:c r="I114" s="54" t="str"/>
      <x:c r="J114" s="58" t="str"/>
    </x:row>
    <x:row r="115">
      <x:c r="A115" s="57" t="str">
        <x:v>EVD-0111</x:v>
      </x:c>
      <x:c r="B115" s="54" t="str">
        <x:v>HY-APP-09</x:v>
      </x:c>
      <x:c r="C115" s="54" t="str">
        <x:v>业务签字</x:v>
      </x:c>
      <x:c r="D115" s="54" t="str">
        <x:v>接入台账与覆盖看板-业务签字证据</x:v>
      </x:c>
      <x:c r="E115" s="54" t="str">
        <x:v>信息管理部</x:v>
      </x:c>
      <x:c r="F115" s="54" t="str">
        <x:v>V1.0</x:v>
      </x:c>
      <x:c r="G115" s="54" t="str"/>
      <x:c r="H115" s="54" t="str">
        <x:v>未归档</x:v>
      </x:c>
      <x:c r="I115" s="54" t="str"/>
      <x:c r="J115" s="58" t="str"/>
    </x:row>
    <x:row r="116">
      <x:c r="A116" s="57" t="str">
        <x:v>EVD-0112</x:v>
      </x:c>
      <x:c r="B116" s="54" t="str">
        <x:v>HY-SEC-01</x:v>
      </x:c>
      <x:c r="C116" s="54" t="str">
        <x:v>设计/配置</x:v>
      </x:c>
      <x:c r="D116" s="54" t="str">
        <x:v>分类分级库、RBAC/ABAC、脱敏-设计/配置证据</x:v>
      </x:c>
      <x:c r="E116" s="54" t="str">
        <x:v>网安办</x:v>
      </x:c>
      <x:c r="F116" s="54" t="str">
        <x:v>V1.0</x:v>
      </x:c>
      <x:c r="G116" s="54" t="str"/>
      <x:c r="H116" s="54" t="str">
        <x:v>未归档</x:v>
      </x:c>
      <x:c r="I116" s="54" t="str"/>
      <x:c r="J116" s="58" t="str"/>
    </x:row>
    <x:row r="117">
      <x:c r="A117" s="57" t="str">
        <x:v>EVD-0113</x:v>
      </x:c>
      <x:c r="B117" s="54" t="str">
        <x:v>HY-SEC-01</x:v>
      </x:c>
      <x:c r="C117" s="54" t="str">
        <x:v>测试/运行</x:v>
      </x:c>
      <x:c r="D117" s="54" t="str">
        <x:v>分类分级库、RBAC/ABAC、脱敏-测试/运行证据</x:v>
      </x:c>
      <x:c r="E117" s="54" t="str">
        <x:v>网安办</x:v>
      </x:c>
      <x:c r="F117" s="54" t="str">
        <x:v>V1.0</x:v>
      </x:c>
      <x:c r="G117" s="54" t="str"/>
      <x:c r="H117" s="54" t="str">
        <x:v>未归档</x:v>
      </x:c>
      <x:c r="I117" s="54" t="str"/>
      <x:c r="J117" s="58" t="str"/>
    </x:row>
    <x:row r="118">
      <x:c r="A118" s="57" t="str">
        <x:v>EVD-0114</x:v>
      </x:c>
      <x:c r="B118" s="54" t="str">
        <x:v>HY-SEC-01</x:v>
      </x:c>
      <x:c r="C118" s="54" t="str">
        <x:v>业务签字</x:v>
      </x:c>
      <x:c r="D118" s="54" t="str">
        <x:v>分类分级库、RBAC/ABAC、脱敏-业务签字证据</x:v>
      </x:c>
      <x:c r="E118" s="54" t="str">
        <x:v>网安办</x:v>
      </x:c>
      <x:c r="F118" s="54" t="str">
        <x:v>V1.0</x:v>
      </x:c>
      <x:c r="G118" s="54" t="str"/>
      <x:c r="H118" s="54" t="str">
        <x:v>未归档</x:v>
      </x:c>
      <x:c r="I118" s="54" t="str"/>
      <x:c r="J118" s="58" t="str"/>
    </x:row>
    <x:row r="119">
      <x:c r="A119" s="57" t="str">
        <x:v>EVD-0115</x:v>
      </x:c>
      <x:c r="B119" s="54" t="str">
        <x:v>HY-SEC-02</x:v>
      </x:c>
      <x:c r="C119" s="54" t="str">
        <x:v>设计/配置</x:v>
      </x:c>
      <x:c r="D119" s="54" t="str">
        <x:v>审计、导出审批和水印-设计/配置证据</x:v>
      </x:c>
      <x:c r="E119" s="54" t="str">
        <x:v>网安办</x:v>
      </x:c>
      <x:c r="F119" s="54" t="str">
        <x:v>V1.0</x:v>
      </x:c>
      <x:c r="G119" s="54" t="str"/>
      <x:c r="H119" s="54" t="str">
        <x:v>未归档</x:v>
      </x:c>
      <x:c r="I119" s="54" t="str"/>
      <x:c r="J119" s="58" t="str"/>
    </x:row>
    <x:row r="120">
      <x:c r="A120" s="57" t="str">
        <x:v>EVD-0116</x:v>
      </x:c>
      <x:c r="B120" s="54" t="str">
        <x:v>HY-SEC-02</x:v>
      </x:c>
      <x:c r="C120" s="54" t="str">
        <x:v>测试/运行</x:v>
      </x:c>
      <x:c r="D120" s="54" t="str">
        <x:v>审计、导出审批和水印-测试/运行证据</x:v>
      </x:c>
      <x:c r="E120" s="54" t="str">
        <x:v>网安办</x:v>
      </x:c>
      <x:c r="F120" s="54" t="str">
        <x:v>V1.0</x:v>
      </x:c>
      <x:c r="G120" s="54" t="str"/>
      <x:c r="H120" s="54" t="str">
        <x:v>未归档</x:v>
      </x:c>
      <x:c r="I120" s="54" t="str"/>
      <x:c r="J120" s="58" t="str"/>
    </x:row>
    <x:row r="121">
      <x:c r="A121" s="57" t="str">
        <x:v>EVD-0117</x:v>
      </x:c>
      <x:c r="B121" s="54" t="str">
        <x:v>HY-SEC-02</x:v>
      </x:c>
      <x:c r="C121" s="54" t="str">
        <x:v>业务签字</x:v>
      </x:c>
      <x:c r="D121" s="54" t="str">
        <x:v>审计、导出审批和水印-业务签字证据</x:v>
      </x:c>
      <x:c r="E121" s="54" t="str">
        <x:v>网安办</x:v>
      </x:c>
      <x:c r="F121" s="54" t="str">
        <x:v>V1.0</x:v>
      </x:c>
      <x:c r="G121" s="54" t="str"/>
      <x:c r="H121" s="54" t="str">
        <x:v>未归档</x:v>
      </x:c>
      <x:c r="I121" s="54" t="str"/>
      <x:c r="J121" s="58" t="str"/>
    </x:row>
    <x:row r="122">
      <x:c r="A122" s="57" t="str">
        <x:v>EVD-0118</x:v>
      </x:c>
      <x:c r="B122" s="54" t="str">
        <x:v>HY-SEC-03</x:v>
      </x:c>
      <x:c r="C122" s="54" t="str">
        <x:v>设计/配置</x:v>
      </x:c>
      <x:c r="D122" s="54" t="str">
        <x:v>安全基线、API安全和密钥管理-设计/配置证据</x:v>
      </x:c>
      <x:c r="E122" s="54" t="str">
        <x:v>网安办/运维</x:v>
      </x:c>
      <x:c r="F122" s="54" t="str">
        <x:v>V1.0</x:v>
      </x:c>
      <x:c r="G122" s="54" t="str"/>
      <x:c r="H122" s="54" t="str">
        <x:v>未归档</x:v>
      </x:c>
      <x:c r="I122" s="54" t="str"/>
      <x:c r="J122" s="58" t="str"/>
    </x:row>
    <x:row r="123">
      <x:c r="A123" s="57" t="str">
        <x:v>EVD-0119</x:v>
      </x:c>
      <x:c r="B123" s="54" t="str">
        <x:v>HY-SEC-03</x:v>
      </x:c>
      <x:c r="C123" s="54" t="str">
        <x:v>测试/运行</x:v>
      </x:c>
      <x:c r="D123" s="54" t="str">
        <x:v>安全基线、API安全和密钥管理-测试/运行证据</x:v>
      </x:c>
      <x:c r="E123" s="54" t="str">
        <x:v>网安办/运维</x:v>
      </x:c>
      <x:c r="F123" s="54" t="str">
        <x:v>V1.0</x:v>
      </x:c>
      <x:c r="G123" s="54" t="str"/>
      <x:c r="H123" s="54" t="str">
        <x:v>未归档</x:v>
      </x:c>
      <x:c r="I123" s="54" t="str"/>
      <x:c r="J123" s="58" t="str"/>
    </x:row>
    <x:row r="124">
      <x:c r="A124" s="57" t="str">
        <x:v>EVD-0120</x:v>
      </x:c>
      <x:c r="B124" s="54" t="str">
        <x:v>HY-SEC-03</x:v>
      </x:c>
      <x:c r="C124" s="54" t="str">
        <x:v>业务签字</x:v>
      </x:c>
      <x:c r="D124" s="54" t="str">
        <x:v>安全基线、API安全和密钥管理-业务签字证据</x:v>
      </x:c>
      <x:c r="E124" s="54" t="str">
        <x:v>网安办/运维</x:v>
      </x:c>
      <x:c r="F124" s="54" t="str">
        <x:v>V1.0</x:v>
      </x:c>
      <x:c r="G124" s="54" t="str"/>
      <x:c r="H124" s="54" t="str">
        <x:v>未归档</x:v>
      </x:c>
      <x:c r="I124" s="54" t="str"/>
      <x:c r="J124" s="58" t="str"/>
    </x:row>
    <x:row r="125">
      <x:c r="A125" s="57" t="str">
        <x:v>EVD-0121</x:v>
      </x:c>
      <x:c r="B125" s="54" t="str">
        <x:v>HY-SEC-04</x:v>
      </x:c>
      <x:c r="C125" s="54" t="str">
        <x:v>设计/配置</x:v>
      </x:c>
      <x:c r="D125" s="54" t="str">
        <x:v>预案、备份和恢复编排-设计/配置证据</x:v>
      </x:c>
      <x:c r="E125" s="54" t="str">
        <x:v>网安办/运维</x:v>
      </x:c>
      <x:c r="F125" s="54" t="str">
        <x:v>V1.0</x:v>
      </x:c>
      <x:c r="G125" s="54" t="str"/>
      <x:c r="H125" s="54" t="str">
        <x:v>未归档</x:v>
      </x:c>
      <x:c r="I125" s="54" t="str"/>
      <x:c r="J125" s="58" t="str"/>
    </x:row>
    <x:row r="126">
      <x:c r="A126" s="57" t="str">
        <x:v>EVD-0122</x:v>
      </x:c>
      <x:c r="B126" s="54" t="str">
        <x:v>HY-SEC-04</x:v>
      </x:c>
      <x:c r="C126" s="54" t="str">
        <x:v>测试/运行</x:v>
      </x:c>
      <x:c r="D126" s="54" t="str">
        <x:v>预案、备份和恢复编排-测试/运行证据</x:v>
      </x:c>
      <x:c r="E126" s="54" t="str">
        <x:v>网安办/运维</x:v>
      </x:c>
      <x:c r="F126" s="54" t="str">
        <x:v>V1.0</x:v>
      </x:c>
      <x:c r="G126" s="54" t="str"/>
      <x:c r="H126" s="54" t="str">
        <x:v>未归档</x:v>
      </x:c>
      <x:c r="I126" s="54" t="str"/>
      <x:c r="J126" s="58" t="str"/>
    </x:row>
    <x:row r="127">
      <x:c r="A127" s="59" t="str">
        <x:v>EVD-0123</x:v>
      </x:c>
      <x:c r="B127" s="60" t="str">
        <x:v>HY-SEC-04</x:v>
      </x:c>
      <x:c r="C127" s="60" t="str">
        <x:v>业务签字</x:v>
      </x:c>
      <x:c r="D127" s="60" t="str">
        <x:v>预案、备份和恢复编排-业务签字证据</x:v>
      </x:c>
      <x:c r="E127" s="60" t="str">
        <x:v>网安办/运维</x:v>
      </x:c>
      <x:c r="F127" s="60" t="str">
        <x:v>V1.0</x:v>
      </x:c>
      <x:c r="G127" s="60" t="str"/>
      <x:c r="H127" s="60" t="str">
        <x:v>未归档</x:v>
      </x:c>
      <x:c r="I127" s="60" t="str"/>
      <x:c r="J127" s="61" t="str"/>
    </x:row>
  </x:sheetData>
  <x:mergeCells>
    <x:mergeCell ref="A1:J1"/>
    <x:mergeCell ref="A2:J2"/>
  </x:mergeCells>
  <x:conditionalFormatting sqref="H5:H127">
    <x:cfRule type="expression" dxfId="8" priority="1">
      <x:formula>H5="已完成"</x:formula>
    </x:cfRule>
    <x:cfRule type="expression" dxfId="9" priority="2">
      <x:formula>H5="进行中"</x:formula>
    </x:cfRule>
    <x:cfRule type="expression" dxfId="10" priority="3">
      <x:formula>H5="阻塞"</x:formula>
    </x:cfRule>
    <x:cfRule type="expression" dxfId="11" priority="4">
      <x:formula>H5="未开始"</x:formula>
    </x:cfRule>
  </x:conditionalFormatting>
  <x:dataValidations count="1">
    <x:dataValidation type="list" sqref="H5:H127">
      <x:formula1>"未归档,待复核,已归档,已过期"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0273a248bf44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45" hidden="0" customWidth="1"/>
    <x:col min="5" max="5" width="18" hidden="0" customWidth="1"/>
    <x:col min="6" max="6" width="10" hidden="0" customWidth="1"/>
    <x:col min="7" max="7" width="18" hidden="0" customWidth="1"/>
    <x:col min="8" max="8" width="12" hidden="0" customWidth="1"/>
    <x:col min="9" max="9" width="30" hidden="0" customWidth="1"/>
    <x:col min="10" max="10" width="34" hidden="0" customWidth="1"/>
  </x:cols>
  <x:sheetData>
    <x:row r="1" ht="30" customHeight="1">
      <x:c r="A1" s="5" t="str">
        <x:v>核心验收测试用例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2" t="str">
        <x:v>P0用例必须在上线和模拟测评前全部通过；医疗安全类失败不得带病上线。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34" t="str">
        <x:v>用例编号</x:v>
      </x:c>
      <x:c r="B4" s="35" t="str">
        <x:v>场景</x:v>
      </x:c>
      <x:c r="C4" s="35" t="str">
        <x:v>步骤/前置</x:v>
      </x:c>
      <x:c r="D4" s="35" t="str">
        <x:v>预期结果</x:v>
      </x:c>
      <x:c r="E4" s="35" t="str">
        <x:v>模块</x:v>
      </x:c>
      <x:c r="F4" s="35" t="str">
        <x:v>优先级</x:v>
      </x:c>
      <x:c r="G4" s="35" t="str">
        <x:v>负责人</x:v>
      </x:c>
      <x:c r="H4" s="35" t="str">
        <x:v>状态</x:v>
      </x:c>
      <x:c r="I4" s="35" t="str">
        <x:v>实测结果</x:v>
      </x:c>
      <x:c r="J4" s="36" t="str">
        <x:v>证据链接</x:v>
      </x:c>
    </x:row>
    <x:row r="5">
      <x:c r="A5" s="57" t="str">
        <x:v>UAT-MPI-001</x:v>
      </x:c>
      <x:c r="B5" s="54" t="str">
        <x:v>同一患者跨系统自动关联</x:v>
      </x:c>
      <x:c r="C5" s="54" t="str">
        <x:v>构造身份证一致、姓名轻微差异记录</x:v>
      </x:c>
      <x:c r="D5" s="54" t="str">
        <x:v>同一企业患者ID，XREF和可解释分数完整</x:v>
      </x:c>
      <x:c r="E5" s="54" t="str">
        <x:v>EMPI</x:v>
      </x:c>
      <x:c r="F5" s="54" t="str">
        <x:v>P0</x:v>
      </x:c>
      <x:c r="G5" s="54" t="str">
        <x:v>待指定</x:v>
      </x:c>
      <x:c r="H5" s="54" t="str">
        <x:v>未开始</x:v>
      </x:c>
      <x:c r="I5" s="54" t="str"/>
      <x:c r="J5" s="58" t="str"/>
    </x:row>
    <x:row r="6">
      <x:c r="A6" s="57" t="str">
        <x:v>UAT-MPI-002</x:v>
      </x:c>
      <x:c r="B6" s="54" t="str">
        <x:v>疑似患者仲裁与拆分</x:v>
      </x:c>
      <x:c r="C6" s="54" t="str">
        <x:v>中间阈值审核后合并再拆分</x:v>
      </x:c>
      <x:c r="D6" s="54" t="str">
        <x:v>审批、快照、审计、补偿事件完整</x:v>
      </x:c>
      <x:c r="E6" s="54" t="str">
        <x:v>EMPI</x:v>
      </x:c>
      <x:c r="F6" s="54" t="str">
        <x:v>P0</x:v>
      </x:c>
      <x:c r="G6" s="54" t="str">
        <x:v>待指定</x:v>
      </x:c>
      <x:c r="H6" s="54" t="str">
        <x:v>未开始</x:v>
      </x:c>
      <x:c r="I6" s="54" t="str"/>
      <x:c r="J6" s="58" t="str"/>
    </x:row>
    <x:row r="7">
      <x:c r="A7" s="57" t="str">
        <x:v>UAT-STD-001</x:v>
      </x:c>
      <x:c r="B7" s="54" t="str">
        <x:v>值域版本发布订阅</x:v>
      </x:c>
      <x:c r="C7" s="54" t="str">
        <x:v>新增停用代码并发布</x:v>
      </x:c>
      <x:c r="D7" s="54" t="str">
        <x:v>影响分析、审批、事件、回执和回退完整</x:v>
      </x:c>
      <x:c r="E7" s="54" t="str">
        <x:v>标准术语</x:v>
      </x:c>
      <x:c r="F7" s="54" t="str">
        <x:v>P0</x:v>
      </x:c>
      <x:c r="G7" s="54" t="str">
        <x:v>待指定</x:v>
      </x:c>
      <x:c r="H7" s="54" t="str">
        <x:v>未开始</x:v>
      </x:c>
      <x:c r="I7" s="54" t="str"/>
      <x:c r="J7" s="58" t="str"/>
    </x:row>
    <x:row r="8">
      <x:c r="A8" s="57" t="str">
        <x:v>UAT-DQ-001</x:v>
      </x:c>
      <x:c r="B8" s="54" t="str">
        <x:v>质量门禁</x:v>
      </x:c>
      <x:c r="C8" s="54" t="str">
        <x:v>导入非法码或空Owner</x:v>
      </x:c>
      <x:c r="D8" s="54" t="str">
        <x:v>阻断发布、工单、复测关闭</x:v>
      </x:c>
      <x:c r="E8" s="54" t="str">
        <x:v>数据质量</x:v>
      </x:c>
      <x:c r="F8" s="54" t="str">
        <x:v>P0</x:v>
      </x:c>
      <x:c r="G8" s="54" t="str">
        <x:v>待指定</x:v>
      </x:c>
      <x:c r="H8" s="54" t="str">
        <x:v>未开始</x:v>
      </x:c>
      <x:c r="I8" s="54" t="str"/>
      <x:c r="J8" s="58" t="str"/>
    </x:row>
    <x:row r="9">
      <x:c r="A9" s="57" t="str">
        <x:v>UAT-CDR-001</x:v>
      </x:c>
      <x:c r="B9" s="54" t="str">
        <x:v>临床时间线一致</x:v>
      </x:c>
      <x:c r="C9" s="54" t="str">
        <x:v>加载一次住院诊断医嘱结果报告手术</x:v>
      </x:c>
      <x:c r="D9" s="54" t="str">
        <x:v>按患者就诊关联，源可追溯，无孤儿</x:v>
      </x:c>
      <x:c r="E9" s="54" t="str">
        <x:v>CDR</x:v>
      </x:c>
      <x:c r="F9" s="54" t="str">
        <x:v>P0</x:v>
      </x:c>
      <x:c r="G9" s="54" t="str">
        <x:v>待指定</x:v>
      </x:c>
      <x:c r="H9" s="54" t="str">
        <x:v>未开始</x:v>
      </x:c>
      <x:c r="I9" s="54" t="str"/>
      <x:c r="J9" s="58" t="str"/>
    </x:row>
    <x:row r="10">
      <x:c r="A10" s="57" t="str">
        <x:v>UAT-DOC-001</x:v>
      </x:c>
      <x:c r="B10" s="54" t="str">
        <x:v>共享文档校验</x:v>
      </x:c>
      <x:c r="C10" s="54" t="str">
        <x:v>生成出院小结和检验报告</x:v>
      </x:c>
      <x:c r="D10" s="54" t="str">
        <x:v>结构代码必填通过，可注册查询，版本签名完整</x:v>
      </x:c>
      <x:c r="E10" s="54" t="str">
        <x:v>共享文档</x:v>
      </x:c>
      <x:c r="F10" s="54" t="str">
        <x:v>P0</x:v>
      </x:c>
      <x:c r="G10" s="54" t="str">
        <x:v>待指定</x:v>
      </x:c>
      <x:c r="H10" s="54" t="str">
        <x:v>未开始</x:v>
      </x:c>
      <x:c r="I10" s="54" t="str"/>
      <x:c r="J10" s="58" t="str"/>
    </x:row>
    <x:row r="11">
      <x:c r="A11" s="57" t="str">
        <x:v>UAT-API-001</x:v>
      </x:c>
      <x:c r="B11" s="54" t="str">
        <x:v>鉴权幂等限流</x:v>
      </x:c>
      <x:c r="C11" s="54" t="str">
        <x:v>重复幂等键并越权查询</x:v>
      </x:c>
      <x:c r="D11" s="54" t="str">
        <x:v>不重复、越权拒绝审计、限流标准错误</x:v>
      </x:c>
      <x:c r="E11" s="54" t="str">
        <x:v>数据服务</x:v>
      </x:c>
      <x:c r="F11" s="54" t="str">
        <x:v>P0</x:v>
      </x:c>
      <x:c r="G11" s="54" t="str">
        <x:v>待指定</x:v>
      </x:c>
      <x:c r="H11" s="54" t="str">
        <x:v>未开始</x:v>
      </x:c>
      <x:c r="I11" s="54" t="str"/>
      <x:c r="J11" s="58" t="str"/>
    </x:row>
    <x:row r="12">
      <x:c r="A12" s="57" t="str">
        <x:v>UAT-EVT-001</x:v>
      </x:c>
      <x:c r="B12" s="54" t="str">
        <x:v>事件重试死信补发</x:v>
      </x:c>
      <x:c r="C12" s="54" t="str">
        <x:v>下游不可用后恢复</x:v>
      </x:c>
      <x:c r="D12" s="54" t="str">
        <x:v>至少一次、幂等、死信可见、补发审计</x:v>
      </x:c>
      <x:c r="E12" s="54" t="str">
        <x:v>事件总线</x:v>
      </x:c>
      <x:c r="F12" s="54" t="str">
        <x:v>P0</x:v>
      </x:c>
      <x:c r="G12" s="54" t="str">
        <x:v>待指定</x:v>
      </x:c>
      <x:c r="H12" s="54" t="str">
        <x:v>未开始</x:v>
      </x:c>
      <x:c r="I12" s="54" t="str"/>
      <x:c r="J12" s="58" t="str"/>
    </x:row>
    <x:row r="13">
      <x:c r="A13" s="57" t="str">
        <x:v>UAT-CL-001</x:v>
      </x:c>
      <x:c r="B13" s="54" t="str">
        <x:v>危急值闭环</x:v>
      </x:c>
      <x:c r="C13" s="54" t="str">
        <x:v>产生危急结果并确认处置复测</x:v>
      </x:c>
      <x:c r="D13" s="54" t="str">
        <x:v>状态机、超时升级、人员时间证据和指标完整</x:v>
      </x:c>
      <x:c r="E13" s="54" t="str">
        <x:v>临床闭环</x:v>
      </x:c>
      <x:c r="F13" s="54" t="str">
        <x:v>P0</x:v>
      </x:c>
      <x:c r="G13" s="54" t="str">
        <x:v>待指定</x:v>
      </x:c>
      <x:c r="H13" s="54" t="str">
        <x:v>未开始</x:v>
      </x:c>
      <x:c r="I13" s="54" t="str"/>
      <x:c r="J13" s="58" t="str"/>
    </x:row>
    <x:row r="14">
      <x:c r="A14" s="57" t="str">
        <x:v>UAT-CL-002</x:v>
      </x:c>
      <x:c r="B14" s="54" t="str">
        <x:v>给药五正确</x:v>
      </x:c>
      <x:c r="C14" s="54" t="str">
        <x:v>扫码并模拟错患者/错药</x:v>
      </x:c>
      <x:c r="D14" s="54" t="str">
        <x:v>错误拦截，正确生成执行和审计</x:v>
      </x:c>
      <x:c r="E14" s="54" t="str">
        <x:v>临床闭环</x:v>
      </x:c>
      <x:c r="F14" s="54" t="str">
        <x:v>P0</x:v>
      </x:c>
      <x:c r="G14" s="54" t="str">
        <x:v>待指定</x:v>
      </x:c>
      <x:c r="H14" s="54" t="str">
        <x:v>未开始</x:v>
      </x:c>
      <x:c r="I14" s="54" t="str"/>
      <x:c r="J14" s="58" t="str"/>
    </x:row>
    <x:row r="15">
      <x:c r="A15" s="57" t="str">
        <x:v>UAT-CDSS-001</x:v>
      </x:c>
      <x:c r="B15" s="54" t="str">
        <x:v>规则仿真灰度回滚</x:v>
      </x:c>
      <x:c r="C15" s="54" t="str">
        <x:v>肾功能用药规则影子运行后灰度</x:v>
      </x:c>
      <x:c r="D15" s="54" t="str">
        <x:v>版本、命中、采纳、效果和回滚可追踪</x:v>
      </x:c>
      <x:c r="E15" s="54" t="str">
        <x:v>CDSS</x:v>
      </x:c>
      <x:c r="F15" s="54" t="str">
        <x:v>P0</x:v>
      </x:c>
      <x:c r="G15" s="54" t="str">
        <x:v>待指定</x:v>
      </x:c>
      <x:c r="H15" s="54" t="str">
        <x:v>未开始</x:v>
      </x:c>
      <x:c r="I15" s="54" t="str"/>
      <x:c r="J15" s="58" t="str"/>
    </x:row>
    <x:row r="16">
      <x:c r="A16" s="57" t="str">
        <x:v>UAT-SEC-001</x:v>
      </x:c>
      <x:c r="B16" s="54" t="str">
        <x:v>敏感导出审批到期</x:v>
      </x:c>
      <x:c r="C16" s="54" t="str">
        <x:v>科研数据申请审批下载过期访问</x:v>
      </x:c>
      <x:c r="D16" s="54" t="str">
        <x:v>最小字段、去标识、水印、审计、到期拒绝</x:v>
      </x:c>
      <x:c r="E16" s="54" t="str">
        <x:v>安全</x:v>
      </x:c>
      <x:c r="F16" s="54" t="str">
        <x:v>P0</x:v>
      </x:c>
      <x:c r="G16" s="54" t="str">
        <x:v>待指定</x:v>
      </x:c>
      <x:c r="H16" s="54" t="str">
        <x:v>未开始</x:v>
      </x:c>
      <x:c r="I16" s="54" t="str"/>
      <x:c r="J16" s="58" t="str"/>
    </x:row>
    <x:row r="17">
      <x:c r="A17" s="57" t="str">
        <x:v>UAT-LIN-001</x:v>
      </x:c>
      <x:c r="B17" s="54" t="str">
        <x:v>变更影响分析</x:v>
      </x:c>
      <x:c r="C17" s="54" t="str">
        <x:v>拟停用检验项目代码</x:v>
      </x:c>
      <x:c r="D17" s="54" t="str">
        <x:v>列出源、接口、CDR、规则、报表、订阅</x:v>
      </x:c>
      <x:c r="E17" s="54" t="str">
        <x:v>血缘</x:v>
      </x:c>
      <x:c r="F17" s="54" t="str">
        <x:v>P1</x:v>
      </x:c>
      <x:c r="G17" s="54" t="str">
        <x:v>待指定</x:v>
      </x:c>
      <x:c r="H17" s="54" t="str">
        <x:v>未开始</x:v>
      </x:c>
      <x:c r="I17" s="54" t="str"/>
      <x:c r="J17" s="58" t="str"/>
    </x:row>
    <x:row r="18">
      <x:c r="A18" s="57" t="str">
        <x:v>UAT-DR-001</x:v>
      </x:c>
      <x:c r="B18" s="54" t="str">
        <x:v>容灾回滚</x:v>
      </x:c>
      <x:c r="C18" s="54" t="str">
        <x:v>模拟库故障、积压和错误版本</x:v>
      </x:c>
      <x:c r="D18" s="54" t="str">
        <x:v>RTO/RPO内恢复，无丢消息，版本可回滚</x:v>
      </x:c>
      <x:c r="E18" s="54" t="str">
        <x:v>运维</x:v>
      </x:c>
      <x:c r="F18" s="54" t="str">
        <x:v>P0</x:v>
      </x:c>
      <x:c r="G18" s="54" t="str">
        <x:v>待指定</x:v>
      </x:c>
      <x:c r="H18" s="54" t="str">
        <x:v>未开始</x:v>
      </x:c>
      <x:c r="I18" s="54" t="str"/>
      <x:c r="J18" s="58" t="str"/>
    </x:row>
    <x:row r="19">
      <x:c r="A19" s="59" t="str">
        <x:v>UAT-EVD-001</x:v>
      </x:c>
      <x:c r="B19" s="60" t="str">
        <x:v>证据可核验</x:v>
      </x:c>
      <x:c r="C19" s="60" t="str">
        <x:v>随机抽取条款</x:v>
      </x:c>
      <x:c r="D19" s="60" t="str">
        <x:v>关联运行数据、配置、测试、责任和哈希</x:v>
      </x:c>
      <x:c r="E19" s="60" t="str">
        <x:v>证据中心</x:v>
      </x:c>
      <x:c r="F19" s="60" t="str">
        <x:v>P0</x:v>
      </x:c>
      <x:c r="G19" s="60" t="str">
        <x:v>待指定</x:v>
      </x:c>
      <x:c r="H19" s="60" t="str">
        <x:v>未开始</x:v>
      </x:c>
      <x:c r="I19" s="60" t="str"/>
      <x:c r="J19" s="61" t="str"/>
    </x:row>
  </x:sheetData>
  <x:mergeCells>
    <x:mergeCell ref="A1:J1"/>
    <x:mergeCell ref="A2:J2"/>
  </x:mergeCells>
  <x:conditionalFormatting sqref="H5:H19">
    <x:cfRule type="expression" dxfId="12" priority="1">
      <x:formula>H5="已完成"</x:formula>
    </x:cfRule>
    <x:cfRule type="expression" dxfId="13" priority="2">
      <x:formula>H5="进行中"</x:formula>
    </x:cfRule>
    <x:cfRule type="expression" dxfId="14" priority="3">
      <x:formula>H5="阻塞"</x:formula>
    </x:cfRule>
    <x:cfRule type="expression" dxfId="15" priority="4">
      <x:formula>H5="未开始"</x:formula>
    </x:cfRule>
  </x:conditionalFormatting>
  <x:dataValidations count="1">
    <x:dataValidation type="list" sqref="H5:H19">
      <x:formula1>"未开始,执行中,通过,失败,阻塞"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1282d0c6ed43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14" hidden="0" customWidth="1"/>
    <x:col min="7" max="7" width="22" hidden="0" customWidth="1"/>
    <x:col min="8" max="8" width="38" hidden="0" customWidth="1"/>
  </x:cols>
  <x:sheetData>
    <x:row r="1" ht="30" customHeight="1">
      <x:c r="A1" s="5" t="str">
        <x:v>五乙评分与差距测算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输入当前得分和证据完整率，自动计算差距。内部红线建议不低于官方五乙目标。</x:v>
      </x:c>
      <x:c r="B2" s="12"/>
      <x:c r="C2" s="12"/>
      <x:c r="D2" s="12"/>
      <x:c r="E2" s="12"/>
      <x:c r="F2" s="12"/>
      <x:c r="G2" s="12"/>
      <x:c r="H2" s="12"/>
    </x:row>
    <x:row r="4">
      <x:c r="A4" s="34" t="str">
        <x:v>维度</x:v>
      </x:c>
      <x:c r="B4" s="35" t="str">
        <x:v>目标分</x:v>
      </x:c>
      <x:c r="C4" s="35" t="str">
        <x:v>当前得分</x:v>
      </x:c>
      <x:c r="D4" s="35" t="str">
        <x:v>证据完整率</x:v>
      </x:c>
      <x:c r="E4" s="35" t="str">
        <x:v>差距分</x:v>
      </x:c>
      <x:c r="F4" s="35" t="str">
        <x:v>状态</x:v>
      </x:c>
      <x:c r="G4" s="35" t="str">
        <x:v>责任团队</x:v>
      </x:c>
      <x:c r="H4" s="36" t="str">
        <x:v>整改说明</x:v>
      </x:c>
    </x:row>
    <x:row r="5">
      <x:c r="A5" s="57" t="str">
        <x:v>数据集标准化</x:v>
      </x:c>
      <x:c r="B5" s="54" t="n">
        <x:v>15</x:v>
      </x:c>
      <x:c r="C5" s="54" t="n">
        <x:v>0</x:v>
      </x:c>
      <x:c r="D5" s="67" t="n">
        <x:v>0</x:v>
      </x:c>
      <x:c r="E5" s="54" t="n">
        <x:f>B5-C5</x:f>
        <x:v>15</x:v>
      </x:c>
      <x:c r="F5" s="54" t="str">
        <x:f>IF(AND(C5&gt;=B5,D5=1),"达标",IF(C5&gt;=B5*0.8,"接近","未达标"))</x:f>
        <x:v>未达标</x:v>
      </x:c>
      <x:c r="G5" s="54" t="str">
        <x:v>标准规范组</x:v>
      </x:c>
      <x:c r="H5" s="58" t="str"/>
    </x:row>
    <x:row r="6">
      <x:c r="A6" s="57" t="str">
        <x:v>共享文档</x:v>
      </x:c>
      <x:c r="B6" s="54" t="n">
        <x:v>14</x:v>
      </x:c>
      <x:c r="C6" s="54" t="n">
        <x:v>0</x:v>
      </x:c>
      <x:c r="D6" s="67" t="n">
        <x:v>0</x:v>
      </x:c>
      <x:c r="E6" s="54" t="n">
        <x:f>B6-C6</x:f>
        <x:v>14</x:v>
      </x:c>
      <x:c r="F6" s="54" t="str">
        <x:f>IF(AND(C6&gt;=B6,D6=1),"达标",IF(C6&gt;=B6*0.8,"接近","未达标"))</x:f>
        <x:v>未达标</x:v>
      </x:c>
      <x:c r="G6" s="54" t="str">
        <x:v>CDR/文档组</x:v>
      </x:c>
      <x:c r="H6" s="58" t="str"/>
    </x:row>
    <x:row r="7">
      <x:c r="A7" s="57" t="str">
        <x:v>技术架构</x:v>
      </x:c>
      <x:c r="B7" s="54" t="n">
        <x:v>9.8</x:v>
      </x:c>
      <x:c r="C7" s="54" t="n">
        <x:v>0</x:v>
      </x:c>
      <x:c r="D7" s="67" t="n">
        <x:v>0</x:v>
      </x:c>
      <x:c r="E7" s="54" t="n">
        <x:f>B7-C7</x:f>
        <x:v>9.8</x:v>
      </x:c>
      <x:c r="F7" s="54" t="str">
        <x:f>IF(AND(C7&gt;=B7,D7=1),"达标",IF(C7&gt;=B7*0.8,"接近","未达标"))</x:f>
        <x:v>未达标</x:v>
      </x:c>
      <x:c r="G7" s="54" t="str">
        <x:v>平台架构组</x:v>
      </x:c>
      <x:c r="H7" s="58" t="str"/>
    </x:row>
    <x:row r="8">
      <x:c r="A8" s="57" t="str">
        <x:v>互操作服务</x:v>
      </x:c>
      <x:c r="B8" s="54" t="n">
        <x:v>25</x:v>
      </x:c>
      <x:c r="C8" s="54" t="n">
        <x:v>0</x:v>
      </x:c>
      <x:c r="D8" s="67" t="n">
        <x:v>0</x:v>
      </x:c>
      <x:c r="E8" s="54" t="n">
        <x:f>B8-C8</x:f>
        <x:v>25</x:v>
      </x:c>
      <x:c r="F8" s="54" t="str">
        <x:f>IF(AND(C8&gt;=B8,D8=1),"达标",IF(C8&gt;=B8*0.8,"接近","未达标"))</x:f>
        <x:v>未达标</x:v>
      </x:c>
      <x:c r="G8" s="54" t="str">
        <x:v>集成与服务组</x:v>
      </x:c>
      <x:c r="H8" s="58" t="str"/>
    </x:row>
    <x:row r="9">
      <x:c r="A9" s="57" t="str">
        <x:v>基础设施</x:v>
      </x:c>
      <x:c r="B9" s="54" t="n">
        <x:v>4.6</x:v>
      </x:c>
      <x:c r="C9" s="54" t="n">
        <x:v>0</x:v>
      </x:c>
      <x:c r="D9" s="67" t="n">
        <x:v>0</x:v>
      </x:c>
      <x:c r="E9" s="54" t="n">
        <x:f>B9-C9</x:f>
        <x:v>4.6</x:v>
      </x:c>
      <x:c r="F9" s="54" t="str">
        <x:f>IF(AND(C9&gt;=B9,D9=1),"达标",IF(C9&gt;=B9*0.8,"接近","未达标"))</x:f>
        <x:v>未达标</x:v>
      </x:c>
      <x:c r="G9" s="54" t="str">
        <x:v>运维组</x:v>
      </x:c>
      <x:c r="H9" s="58" t="str"/>
    </x:row>
    <x:row r="10">
      <x:c r="A10" s="57" t="str">
        <x:v>网络与安全</x:v>
      </x:c>
      <x:c r="B10" s="54" t="n">
        <x:v>5.49</x:v>
      </x:c>
      <x:c r="C10" s="54" t="n">
        <x:v>0</x:v>
      </x:c>
      <x:c r="D10" s="67" t="n">
        <x:v>0</x:v>
      </x:c>
      <x:c r="E10" s="54" t="n">
        <x:f>B10-C10</x:f>
        <x:v>5.49</x:v>
      </x:c>
      <x:c r="F10" s="54" t="str">
        <x:f>IF(AND(C10&gt;=B10,D10=1),"达标",IF(C10&gt;=B10*0.8,"接近","未达标"))</x:f>
        <x:v>未达标</x:v>
      </x:c>
      <x:c r="G10" s="54" t="str">
        <x:v>网安办</x:v>
      </x:c>
      <x:c r="H10" s="58" t="str"/>
    </x:row>
    <x:row r="11">
      <x:c r="A11" s="57" t="str">
        <x:v>信息安全</x:v>
      </x:c>
      <x:c r="B11" s="54" t="n">
        <x:v>3.21</x:v>
      </x:c>
      <x:c r="C11" s="54" t="n">
        <x:v>0</x:v>
      </x:c>
      <x:c r="D11" s="67" t="n">
        <x:v>0</x:v>
      </x:c>
      <x:c r="E11" s="54" t="n">
        <x:f>B11-C11</x:f>
        <x:v>3.21</x:v>
      </x:c>
      <x:c r="F11" s="54" t="str">
        <x:f>IF(AND(C11&gt;=B11,D11=1),"达标",IF(C11&gt;=B11*0.8,"接近","未达标"))</x:f>
        <x:v>未达标</x:v>
      </x:c>
      <x:c r="G11" s="54" t="str">
        <x:v>网安办</x:v>
      </x:c>
      <x:c r="H11" s="58" t="str"/>
    </x:row>
    <x:row r="12">
      <x:c r="A12" s="57" t="str">
        <x:v>业务系统</x:v>
      </x:c>
      <x:c r="B12" s="54" t="n">
        <x:v>2.1</x:v>
      </x:c>
      <x:c r="C12" s="54" t="n">
        <x:v>0</x:v>
      </x:c>
      <x:c r="D12" s="67" t="n">
        <x:v>0</x:v>
      </x:c>
      <x:c r="E12" s="54" t="n">
        <x:f>B12-C12</x:f>
        <x:v>2.1</x:v>
      </x:c>
      <x:c r="F12" s="54" t="str">
        <x:f>IF(AND(C12&gt;=B12,D12=1),"达标",IF(C12&gt;=B12*0.8,"接近","未达标"))</x:f>
        <x:v>未达标</x:v>
      </x:c>
      <x:c r="G12" s="54" t="str">
        <x:v>应用平台主管</x:v>
      </x:c>
      <x:c r="H12" s="58" t="str"/>
    </x:row>
    <x:row r="13">
      <x:c r="A13" s="57" t="str">
        <x:v>应用效果</x:v>
      </x:c>
      <x:c r="B13" s="54" t="n">
        <x:v>7.2</x:v>
      </x:c>
      <x:c r="C13" s="54" t="n">
        <x:v>0</x:v>
      </x:c>
      <x:c r="D13" s="67" t="n">
        <x:v>0</x:v>
      </x:c>
      <x:c r="E13" s="54" t="n">
        <x:f>B13-C13</x:f>
        <x:v>7.2</x:v>
      </x:c>
      <x:c r="F13" s="54" t="str">
        <x:f>IF(AND(C13&gt;=B13,D13=1),"达标",IF(C13&gt;=B13*0.8,"接近","未达标"))</x:f>
        <x:v>未达标</x:v>
      </x:c>
      <x:c r="G13" s="54" t="str">
        <x:v>业务Owner</x:v>
      </x:c>
      <x:c r="H13" s="58" t="str"/>
    </x:row>
    <x:row r="14">
      <x:c r="A14" s="57" t="str">
        <x:v>平台连接</x:v>
      </x:c>
      <x:c r="B14" s="54" t="n">
        <x:v>3.6</x:v>
      </x:c>
      <x:c r="C14" s="54" t="n">
        <x:v>0</x:v>
      </x:c>
      <x:c r="D14" s="67" t="n">
        <x:v>0</x:v>
      </x:c>
      <x:c r="E14" s="54" t="n">
        <x:f>B14-C14</x:f>
        <x:v>3.6</x:v>
      </x:c>
      <x:c r="F14" s="54" t="str">
        <x:f>IF(AND(C14&gt;=B14,D14=1),"达标",IF(C14&gt;=B14*0.8,"接近","未达标"))</x:f>
        <x:v>未达标</x:v>
      </x:c>
      <x:c r="G14" s="54" t="str">
        <x:v>集成组</x:v>
      </x:c>
      <x:c r="H14" s="58" t="str"/>
    </x:row>
    <x:row r="15">
      <x:c r="A15" s="59" t="str">
        <x:v>合计</x:v>
      </x:c>
      <x:c r="B15" s="60" t="n">
        <x:f>SUM(B5:B14)</x:f>
        <x:v>89.99999999999997</x:v>
      </x:c>
      <x:c r="C15" s="60" t="n">
        <x:f>SUM(C5:C14)</x:f>
        <x:v>0</x:v>
      </x:c>
      <x:c r="D15" s="68" t="n">
        <x:f>AVERAGE(D5:D14)</x:f>
        <x:v>0</x:v>
      </x:c>
      <x:c r="E15" s="60" t="n">
        <x:f>SUM(E5:E14)</x:f>
        <x:v>89.99999999999997</x:v>
      </x:c>
      <x:c r="F15" s="60" t="str">
        <x:f>IF(AND(C15&gt;=90,D15=1),"内部达标","继续整改")</x:f>
        <x:v>继续整改</x:v>
      </x:c>
      <x:c r="G15" s="60" t="str">
        <x:v>项目办</x:v>
      </x:c>
      <x:c r="H15" s="61" t="str"/>
    </x:row>
  </x:sheetData>
  <x:mergeCells>
    <x:mergeCell ref="A1:H1"/>
    <x:mergeCell ref="A2:H2"/>
  </x:mergeCells>
  <x:conditionalFormatting sqref="D5:D14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{C142F04E-BE5B-CF19-DDEE-CACA49886F0B}</x14:id>
        </x:ext>
      </x:extLst>
    </x:cfRule>
  </x:conditionalFormatting>
  <x:conditionalFormatting sqref="F5:F15">
    <x:cfRule type="expression" dxfId="16" priority="2">
      <x:formula>F5="达标"</x:formula>
    </x:cfRule>
    <x:cfRule type="expression" dxfId="17" priority="3">
      <x:formula>F5="未达标"</x:formula>
    </x:cfRule>
  </x:conditionalFormatting>
  <x:pageMargins left="0.7" right="0.7" top="0.75" bottom="0.75" header="0.3" footer="0.3"/>
  <x:drawing xmlns:r="http://schemas.openxmlformats.org/officeDocument/2006/relationships" r:id="R31fe6bfd3cce469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142F04E-BE5B-CF19-DDEE-CACA49886F0B}">
            <x14:dataBar gradient="1">
              <x14:cfvo type="min"/>
              <x14:cfvo type="max"/>
              <x14:fillColor rgb="FF70AD47"/>
            </x14:dataBar>
          </x14:cfRule>
          <xm:sqref>D5:D14</xm:sqref>
        </x14:conditionalFormatting>
      </x14:conditionalFormattings>
    </x:ext>
  </x:extLst>
</x:worksheet>
</file>
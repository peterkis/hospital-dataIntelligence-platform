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a666874e0445ec" /></Relationships>
</file>

<file path=xl/workbook.xml><?xml version="1.0" encoding="utf-8"?>
<x:workbook xmlns:x="http://schemas.openxmlformats.org/spreadsheetml/2006/main">
  <x:sheets>
    <x:sheet xmlns:r="http://schemas.openxmlformats.org/officeDocument/2006/relationships" name="实施总览" sheetId="1" r:id="R324e1681f6254e33"/>
    <x:sheet xmlns:r="http://schemas.openxmlformats.org/officeDocument/2006/relationships" name="WBS" sheetId="2" r:id="R670ac189e8734440"/>
    <x:sheet xmlns:r="http://schemas.openxmlformats.org/officeDocument/2006/relationships" name="里程碑" sheetId="3" r:id="R742d5ba7c1a14f4e"/>
    <x:sheet xmlns:r="http://schemas.openxmlformats.org/officeDocument/2006/relationships" name="RACI" sheetId="4" r:id="R925c015356ef42f9"/>
    <x:sheet xmlns:r="http://schemas.openxmlformats.org/officeDocument/2006/relationships" name="风险台账" sheetId="5" r:id="R1559a968829a4f9d"/>
    <x:sheet xmlns:r="http://schemas.openxmlformats.org/officeDocument/2006/relationships" name="测试计划" sheetId="6" r:id="Ra8301a33d62541ce"/>
    <x:sheet xmlns:r="http://schemas.openxmlformats.org/officeDocument/2006/relationships" name="切换计划" sheetId="7" r:id="Rc0d2a5dcb6d345f1"/>
    <x:sheet xmlns:r="http://schemas.openxmlformats.org/officeDocument/2006/relationships" name="资源估算" sheetId="8" r:id="R5102f1c2aec8481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6">
    <x:font>
      <x:sz val="11"/>
      <x:name val="Carlito"/>
    </x:font>
    <x:font>
      <x:b/>
      <x:sz val="16"/>
      <x:color rgb="FFFFFFFF"/>
      <x:name val="Carlito"/>
    </x:font>
    <x:font>
      <x:i/>
      <x:sz val="11"/>
      <x:color rgb="FF35546B"/>
      <x:name val="Carlito"/>
    </x:font>
    <x:font>
      <x:b/>
      <x:sz val="10"/>
      <x:color rgb="FFFFFFFF"/>
      <x:name val="Carlito"/>
    </x:font>
    <x:font>
      <x:b/>
      <x:sz val="11"/>
      <x:color rgb="FF1F1F1F"/>
      <x:name val="Carlito"/>
    </x:font>
    <x:font>
      <x:b/>
      <x:sz val="13"/>
      <x:name val="Carlito"/>
    </x:font>
  </x:fonts>
  <x:fills count="5">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9EAF7"/>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horizontal="center"/>
    </x:xf>
    <x:xf numFmtId="0" fontId="5" fillId="0" borderId="1" xfId="0" applyNumberFormat="1" applyFont="1" applyFill="1" applyBorder="1"/>
    <x:xf numFmtId="0" fontId="5" fillId="0" borderId="1" xfId="0" applyNumberFormat="1" applyFont="1" applyFill="1" applyBorder="1" applyAlignment="1">
      <x:alignment horizontal="center"/>
    </x:xf>
    <x:xf numFmtId="200" fontId="5" fillId="0" borderId="0" xfId="0" applyNumberFormat="1" applyFont="1" applyFill="1" applyBorder="1" applyAlignment="1">
      <x:alignment horizontal="center"/>
    </x:xf>
    <x:xf numFmtId="200" fontId="5" fillId="0" borderId="1" xfId="0" applyNumberFormat="1" applyFont="1" applyFill="1" applyBorder="1" applyAlignment="1">
      <x:alignment horizontal="center"/>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4" fillId="4" borderId="5" xfId="0" applyNumberFormat="1" applyFont="1" applyFill="1" applyBorder="1" applyAlignment="1">
      <x:alignment horizontal="center" vertical="center" wrapText="1"/>
    </x:xf>
    <x:xf numFmtId="0" fontId="0" fillId="0" borderId="0" xfId="0" applyNumberFormat="1" applyFont="1" applyFill="1" applyBorder="1"/>
    <x:xf numFmtId="0" fontId="0" fillId="0" borderId="6" xfId="0" applyNumberFormat="1" applyFont="1" applyFill="1" applyBorder="1"/>
    <x:xf numFmtId="0" fontId="4" fillId="4" borderId="7" xfId="0" applyNumberFormat="1" applyFont="1" applyFill="1" applyBorder="1" applyAlignment="1">
      <x:alignment horizontal="center" vertical="center" wrapText="1"/>
    </x:xf>
    <x:xf numFmtId="200" fontId="5" fillId="0" borderId="8" xfId="0" applyNumberFormat="1" applyFont="1" applyFill="1" applyBorder="1" applyAlignment="1">
      <x:alignment horizontal="center"/>
    </x:xf>
    <x:xf numFmtId="0" fontId="0" fillId="0" borderId="8" xfId="0" applyNumberFormat="1" applyFont="1" applyFill="1" applyBorder="1"/>
    <x:xf numFmtId="0" fontId="0" fillId="0" borderId="9" xfId="0" applyNumberFormat="1" applyFont="1" applyFill="1" applyBorder="1"/>
    <x:xf numFmtId="0" fontId="3" fillId="2" borderId="10" xfId="0" applyNumberFormat="1" applyFont="1" applyFill="1" applyBorder="1" applyAlignment="1">
      <x:alignment horizontal="center" vertical="center" wrapText="1"/>
    </x:xf>
    <x:xf numFmtId="0" fontId="3" fillId="2" borderId="11"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4" fillId="4" borderId="13" xfId="0" applyNumberFormat="1" applyFont="1" applyFill="1" applyBorder="1" applyAlignment="1">
      <x:alignment horizontal="center" vertical="center" wrapText="1"/>
    </x:xf>
    <x:xf numFmtId="0" fontId="0" fillId="0" borderId="14" xfId="0" applyNumberFormat="1" applyFont="1" applyFill="1" applyBorder="1"/>
    <x:xf numFmtId="0" fontId="4" fillId="4" borderId="15" xfId="0" applyNumberFormat="1" applyFont="1" applyFill="1" applyBorder="1" applyAlignment="1">
      <x:alignment horizontal="center" vertical="center" wrapText="1"/>
    </x:xf>
    <x:xf numFmtId="200" fontId="5" fillId="0" borderId="16" xfId="0" applyNumberFormat="1" applyFont="1" applyFill="1" applyBorder="1" applyAlignment="1">
      <x:alignment horizontal="center"/>
    </x:xf>
    <x:xf numFmtId="0" fontId="0" fillId="0" borderId="16" xfId="0" applyNumberFormat="1" applyFont="1" applyFill="1" applyBorder="1"/>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2"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7"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5" xfId="0" applyNumberFormat="1" applyFont="1" applyFill="1" applyBorder="1"/>
    <x:xf numFmtId="201" fontId="0" fillId="0" borderId="0"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16"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16" xfId="0" applyNumberFormat="1" applyFont="1" applyFill="1" applyBorder="1" applyAlignment="1">
      <x:alignment vertical="top" wrapText="1"/>
    </x:xf>
  </x:cellXfs>
  <x:cellStyles count="1">
    <x:cellStyle name="Normal" xfId="0"/>
  </x:cellStyles>
  <x:dxfs count="28">
    <x:dxf>
      <x:font>
        <x:b/>
        <x:color rgb="FF375623"/>
      </x:font>
      <x:fill>
        <x:patternFill patternType="solid">
          <x:bgColor rgb="FFC6E0B4"/>
        </x:patternFill>
      </x:fill>
    </x:dxf>
    <x:dxf>
      <x:font>
        <x:b/>
        <x:color rgb="FF7F6000"/>
      </x:font>
      <x:fill>
        <x:patternFill patternType="solid">
          <x:bgColor rgb="FFFFE699"/>
        </x:patternFill>
      </x:fill>
    </x:dxf>
    <x:dxf>
      <x:font>
        <x:b/>
        <x:color rgb="FF9C0006"/>
      </x:font>
      <x:fill>
        <x:patternFill patternType="solid">
          <x:bgColor rgb="FFF4B084"/>
        </x:patternFill>
      </x:fill>
    </x:dxf>
    <x:dxf>
      <x:font>
        <x:color rgb="FF666666"/>
      </x:font>
      <x:fill>
        <x:patternFill patternType="solid">
          <x:bgColor rgb="FFE7E6E6"/>
        </x:patternFill>
      </x:fill>
    </x:dxf>
    <x:dxf>
      <x:font>
        <x:color rgb="FF9C0006"/>
      </x:font>
      <x:fill>
        <x:patternFill patternType="solid">
          <x:bgColor rgb="FFF4CCCC"/>
        </x:patternFill>
      </x:fill>
    </x:dxf>
    <x:dxf>
      <x:font>
        <x:b/>
        <x:color rgb="FF375623"/>
      </x:font>
      <x:fill>
        <x:patternFill patternType="solid">
          <x:bgColor rgb="FFC6E0B4"/>
        </x:patternFill>
      </x:fill>
    </x:dxf>
    <x:dxf>
      <x:font>
        <x:b/>
        <x:color rgb="FF7F6000"/>
      </x:font>
      <x:fill>
        <x:patternFill patternType="solid">
          <x:bgColor rgb="FFFFE699"/>
        </x:patternFill>
      </x:fill>
    </x:dxf>
    <x:dxf>
      <x:font>
        <x:b/>
        <x:color rgb="FF9C0006"/>
      </x:font>
      <x:fill>
        <x:patternFill patternType="solid">
          <x:bgColor rgb="FFF4B084"/>
        </x:patternFill>
      </x:fill>
    </x:dxf>
    <x:dxf>
      <x:font>
        <x:color rgb="FF666666"/>
      </x:font>
      <x:fill>
        <x:patternFill patternType="solid">
          <x:bgColor rgb="FFE7E6E6"/>
        </x:patternFill>
      </x:fill>
    </x:dxf>
    <x:dxf>
      <x:font>
        <x:b/>
      </x:font>
      <x:fill>
        <x:patternFill patternType="solid">
          <x:bgColor rgb="FFF4B084"/>
        </x:patternFill>
      </x:fill>
    </x:dxf>
    <x:dxf>
      <x:font/>
      <x:fill>
        <x:patternFill patternType="solid">
          <x:bgColor rgb="FFC6E0B4"/>
        </x:patternFill>
      </x:fill>
    </x:dxf>
    <x:dxf>
      <x:font/>
      <x:fill>
        <x:patternFill patternType="solid">
          <x:bgColor rgb="FFFFF2CC"/>
        </x:patternFill>
      </x:fill>
    </x:dxf>
    <x:dxf>
      <x:font/>
      <x:fill>
        <x:patternFill patternType="solid">
          <x:bgColor rgb="FFD9EAF7"/>
        </x:patternFill>
      </x:fill>
    </x:dxf>
    <x:dxf>
      <x:font>
        <x:b/>
      </x:font>
      <x:fill>
        <x:patternFill patternType="solid">
          <x:bgColor rgb="FFF4B084"/>
        </x:patternFill>
      </x:fill>
    </x:dxf>
    <x:dxf>
      <x:font>
        <x:b/>
      </x:font>
      <x:fill>
        <x:patternFill patternType="solid">
          <x:bgColor rgb="FFF4B084"/>
        </x:patternFill>
      </x:fill>
    </x:dxf>
    <x:dxf>
      <x:font>
        <x:b/>
        <x:color rgb="FF375623"/>
      </x:font>
      <x:fill>
        <x:patternFill patternType="solid">
          <x:bgColor rgb="FFC6E0B4"/>
        </x:patternFill>
      </x:fill>
    </x:dxf>
    <x:dxf>
      <x:font>
        <x:b/>
        <x:color rgb="FF7F6000"/>
      </x:font>
      <x:fill>
        <x:patternFill patternType="solid">
          <x:bgColor rgb="FFFFE699"/>
        </x:patternFill>
      </x:fill>
    </x:dxf>
    <x:dxf>
      <x:font>
        <x:b/>
        <x:color rgb="FF9C0006"/>
      </x:font>
      <x:fill>
        <x:patternFill patternType="solid">
          <x:bgColor rgb="FFF4B084"/>
        </x:patternFill>
      </x:fill>
    </x:dxf>
    <x:dxf>
      <x:font>
        <x:color rgb="FF666666"/>
      </x:font>
      <x:fill>
        <x:patternFill patternType="solid">
          <x:bgColor rgb="FFE7E6E6"/>
        </x:patternFill>
      </x:fill>
    </x:dxf>
    <x:dxf>
      <x:font>
        <x:b/>
        <x:color rgb="FF9C0006"/>
      </x:font>
      <x:fill>
        <x:patternFill patternType="solid">
          <x:bgColor rgb="FFF4CCCC"/>
        </x:patternFill>
      </x:fill>
    </x:dxf>
    <x:dxf>
      <x:font>
        <x:b/>
        <x:color rgb="FF375623"/>
      </x:font>
      <x:fill>
        <x:patternFill patternType="solid">
          <x:bgColor rgb="FFC6E0B4"/>
        </x:patternFill>
      </x:fill>
    </x:dxf>
    <x:dxf>
      <x:font>
        <x:b/>
        <x:color rgb="FF7F6000"/>
      </x:font>
      <x:fill>
        <x:patternFill patternType="solid">
          <x:bgColor rgb="FFFFE699"/>
        </x:patternFill>
      </x:fill>
    </x:dxf>
    <x:dxf>
      <x:font>
        <x:b/>
        <x:color rgb="FF9C0006"/>
      </x:font>
      <x:fill>
        <x:patternFill patternType="solid">
          <x:bgColor rgb="FFF4B084"/>
        </x:patternFill>
      </x:fill>
    </x:dxf>
    <x:dxf>
      <x:font>
        <x:color rgb="FF666666"/>
      </x:font>
      <x:fill>
        <x:patternFill patternType="solid">
          <x:bgColor rgb="FFE7E6E6"/>
        </x:patternFill>
      </x:fill>
    </x:dxf>
    <x:dxf>
      <x:font>
        <x:b/>
        <x:color rgb="FF375623"/>
      </x:font>
      <x:fill>
        <x:patternFill patternType="solid">
          <x:bgColor rgb="FFC6E0B4"/>
        </x:patternFill>
      </x:fill>
    </x:dxf>
    <x:dxf>
      <x:font>
        <x:b/>
        <x:color rgb="FF7F6000"/>
      </x:font>
      <x:fill>
        <x:patternFill patternType="solid">
          <x:bgColor rgb="FFFFE699"/>
        </x:patternFill>
      </x:fill>
    </x:dxf>
    <x:dxf>
      <x:font>
        <x:b/>
        <x:color rgb="FF9C0006"/>
      </x:font>
      <x:fill>
        <x:patternFill patternType="solid">
          <x:bgColor rgb="FFF4B084"/>
        </x:patternFill>
      </x:fill>
    </x:dxf>
    <x:dxf>
      <x:font>
        <x:color rgb="FF666666"/>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4dcc7c177e4905" /><Relationship Type="http://schemas.openxmlformats.org/officeDocument/2006/relationships/theme" Target="/xl/theme/theme1.xml" Id="R95a470ff276445c2" /><Relationship Type="http://schemas.openxmlformats.org/officeDocument/2006/relationships/sharedStrings" Target="/xl/sharedStrings.xml" Id="R13fbe351fb5a44b0" /><Relationship Type="http://schemas.openxmlformats.org/officeDocument/2006/relationships/worksheet" Target="/xl/worksheets/sheet1.xml" Id="R324e1681f6254e33" /><Relationship Type="http://schemas.openxmlformats.org/officeDocument/2006/relationships/worksheet" Target="/xl/worksheets/sheet2.xml" Id="R670ac189e8734440" /><Relationship Type="http://schemas.openxmlformats.org/officeDocument/2006/relationships/worksheet" Target="/xl/worksheets/sheet3.xml" Id="R742d5ba7c1a14f4e" /><Relationship Type="http://schemas.openxmlformats.org/officeDocument/2006/relationships/worksheet" Target="/xl/worksheets/sheet4.xml" Id="R925c015356ef42f9" /><Relationship Type="http://schemas.openxmlformats.org/officeDocument/2006/relationships/worksheet" Target="/xl/worksheets/sheet5.xml" Id="R1559a968829a4f9d" /><Relationship Type="http://schemas.openxmlformats.org/officeDocument/2006/relationships/worksheet" Target="/xl/worksheets/sheet6.xml" Id="Ra8301a33d62541ce" /><Relationship Type="http://schemas.openxmlformats.org/officeDocument/2006/relationships/worksheet" Target="/xl/worksheets/sheet7.xml" Id="Rc0d2a5dcb6d345f1" /><Relationship Type="http://schemas.openxmlformats.org/officeDocument/2006/relationships/worksheet" Target="/xl/worksheets/sheet8.xml" Id="R5102f1c2aec84817" /></Relationships>
</file>

<file path=xl/drawings/_rels/drawing1.xml.rels>&#65279;<?xml version="1.0" encoding="utf-8"?><Relationships xmlns="http://schemas.openxmlformats.org/package/2006/relationships"><Relationship Type="http://schemas.openxmlformats.org/officeDocument/2006/relationships/chart" Target="/xl/drawings/charts/chart1.xml" Id="Racf588e06c234cf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各工作流任务数</a:t>
            </a:r>
          </a:p>
        </c:rich>
      </c:tx>
      <c:overlay val="0"/>
    </c:title>
    <c:autoTitleDeleted val="0"/>
    <c:plotArea>
      <c:layout/>
      <c:barChart>
        <c:barDir val="col"/>
        <c:varyColors val="0"/>
        <c:ser>
          <c:idx val="0"/>
          <c:order val="0"/>
          <c:tx>
            <c:v>任务数</c:v>
          </c:tx>
          <c:cat>
            <c:strRef>
              <c:f>'实施总览'!$F$13:$F$22</c:f>
              <c:strCache>
                <c:ptCount val="0"/>
              </c:strCache>
            </c:strRef>
          </c:cat>
          <c:val>
            <c:numRef>
              <c:f>'实施总览'!$G$13:$G$22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11</xdr:row>
      <xdr:rowOff>0</xdr:rowOff>
    </xdr:from>
    <xdr:to>
      <xdr:col>16</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f588e06c234cfe"/>
        </a:graphicData>
      </a:graphic>
    </xdr:graphicFrame>
    <xdr:clientData/>
  </xdr:twoCellAnchor>
</xdr:wsDr>
</file>

<file path=xl/tables/table1.xml><?xml version="1.0" encoding="utf-8"?>
<x:table xmlns:x="http://schemas.openxmlformats.org/spreadsheetml/2006/main" id="1" name="ProjectWBS" displayName="ProjectWBS" ref="A4:R143" headerRowCount="1">
  <x:tableColumns count="18">
    <x:tableColumn id="1" name="WBS"/>
    <x:tableColumn id="2" name="阶段"/>
    <x:tableColumn id="3" name="工作流"/>
    <x:tableColumn id="4" name="任务"/>
    <x:tableColumn id="5" name="开始日期"/>
    <x:tableColumn id="6" name="结束日期"/>
    <x:tableColumn id="7" name="工期天"/>
    <x:tableColumn id="8" name="前置任务"/>
    <x:tableColumn id="9" name="责任部门"/>
    <x:tableColumn id="10" name="责任角色"/>
    <x:tableColumn id="11" name="参与部门"/>
    <x:tableColumn id="12" name="交付物"/>
    <x:tableColumn id="13" name="验收标准"/>
    <x:tableColumn id="14" name="状态"/>
    <x:tableColumn id="15" name="完成率"/>
    <x:tableColumn id="16" name="优先级"/>
    <x:tableColumn id="17" name="证据链接"/>
    <x:tableColumn id="18" name="计划偏差天"/>
  </x:tableColumns>
  <x:tableStyleInfo name="TableStyleMedium2" showRowStripes="1"/>
</x:table>
</file>

<file path=xl/tables/table2.xml><?xml version="1.0" encoding="utf-8"?>
<x:table xmlns:x="http://schemas.openxmlformats.org/spreadsheetml/2006/main" id="2" name="MilestoneTable" displayName="MilestoneTable" ref="A4:I11" headerRowCount="1">
  <x:tableColumns count="9">
    <x:tableColumn id="1" name="编号"/>
    <x:tableColumn id="2" name="里程碑"/>
    <x:tableColumn id="3" name="阶段"/>
    <x:tableColumn id="4" name="退出准则"/>
    <x:tableColumn id="5" name="目标日期"/>
    <x:tableColumn id="6" name="状态"/>
    <x:tableColumn id="7" name="实际日期"/>
    <x:tableColumn id="8" name="负责人"/>
    <x:tableColumn id="9" name="证据链接"/>
  </x:tableColumns>
  <x:tableStyleInfo name="TableStyleMedium2" showRowStripes="1"/>
</x:table>
</file>

<file path=xl/tables/table3.xml><?xml version="1.0" encoding="utf-8"?>
<x:table xmlns:x="http://schemas.openxmlformats.org/spreadsheetml/2006/main" id="3" name="RACIMatrix" displayName="RACIMatrix" ref="A4:N16" headerRowCount="1">
  <x:tableColumns count="14">
    <x:tableColumn id="1" name="流程"/>
    <x:tableColumn id="2" name="院领导/治理委员会"/>
    <x:tableColumn id="3" name="治理办公室"/>
    <x:tableColumn id="4" name="信息管理部"/>
    <x:tableColumn id="5" name="医务部"/>
    <x:tableColumn id="6" name="护理部"/>
    <x:tableColumn id="7" name="质评部/病案室"/>
    <x:tableColumn id="8" name="药学部"/>
    <x:tableColumn id="9" name="检验/检查/输血"/>
    <x:tableColumn id="10" name="组织人事部"/>
    <x:tableColumn id="11" name="财务/医保"/>
    <x:tableColumn id="12" name="网安办"/>
    <x:tableColumn id="13" name="临床研究部"/>
    <x:tableColumn id="14" name="供应商/实施方"/>
  </x:tableColumns>
  <x:tableStyleInfo name="TableStyleMedium2" showRowStripes="1"/>
</x:table>
</file>

<file path=xl/tables/table4.xml><?xml version="1.0" encoding="utf-8"?>
<x:table xmlns:x="http://schemas.openxmlformats.org/spreadsheetml/2006/main" id="4" name="RiskRegister" displayName="RiskRegister" ref="A4:M20" headerRowCount="1">
  <x:tableColumns count="13">
    <x:tableColumn id="1" name="编号"/>
    <x:tableColumn id="2" name="风险"/>
    <x:tableColumn id="3" name="类别"/>
    <x:tableColumn id="4" name="概率"/>
    <x:tableColumn id="5" name="影响"/>
    <x:tableColumn id="6" name="等级"/>
    <x:tableColumn id="7" name="应对措施"/>
    <x:tableColumn id="8" name="Owner"/>
    <x:tableColumn id="9" name="触发指标"/>
    <x:tableColumn id="10" name="状态"/>
    <x:tableColumn id="11" name="复核日期"/>
    <x:tableColumn id="12" name="剩余风险"/>
    <x:tableColumn id="13" name="证据链接"/>
  </x:tableColumns>
  <x:tableStyleInfo name="TableStyleMedium2" showRowStripes="1"/>
</x:table>
</file>

<file path=xl/tables/table5.xml><?xml version="1.0" encoding="utf-8"?>
<x:table xmlns:x="http://schemas.openxmlformats.org/spreadsheetml/2006/main" id="5" name="TestPlan" displayName="TestPlan" ref="A4:M19" headerRowCount="1">
  <x:tableColumns count="13">
    <x:tableColumn id="1" name="用例编号"/>
    <x:tableColumn id="2" name="场景"/>
    <x:tableColumn id="3" name="步骤/前置"/>
    <x:tableColumn id="4" name="预期结果"/>
    <x:tableColumn id="5" name="模块"/>
    <x:tableColumn id="6" name="优先级"/>
    <x:tableColumn id="7" name="测试类型"/>
    <x:tableColumn id="8" name="状态"/>
    <x:tableColumn id="9" name="负责人"/>
    <x:tableColumn id="10" name="计划日期"/>
    <x:tableColumn id="11" name="实测结果"/>
    <x:tableColumn id="12" name="缺陷编号"/>
    <x:tableColumn id="13" name="证据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e1e07d2aecf4364" /></Relationships>
</file>

<file path=xl/worksheets/_rels/sheet2.xml.rels>&#65279;<?xml version="1.0" encoding="utf-8"?><Relationships xmlns="http://schemas.openxmlformats.org/package/2006/relationships"><Relationship Type="http://schemas.openxmlformats.org/officeDocument/2006/relationships/table" Target="/xl/tables/table1.xml" Id="R4f5bcc95f10e44b5" /></Relationships>
</file>

<file path=xl/worksheets/_rels/sheet3.xml.rels>&#65279;<?xml version="1.0" encoding="utf-8"?><Relationships xmlns="http://schemas.openxmlformats.org/package/2006/relationships"><Relationship Type="http://schemas.openxmlformats.org/officeDocument/2006/relationships/table" Target="/xl/tables/table2.xml" Id="Ra6d1ac64d14e4ce5" /></Relationships>
</file>

<file path=xl/worksheets/_rels/sheet4.xml.rels>&#65279;<?xml version="1.0" encoding="utf-8"?><Relationships xmlns="http://schemas.openxmlformats.org/package/2006/relationships"><Relationship Type="http://schemas.openxmlformats.org/officeDocument/2006/relationships/table" Target="/xl/tables/table3.xml" Id="R768bc24f9b5b4779" /></Relationships>
</file>

<file path=xl/worksheets/_rels/sheet5.xml.rels>&#65279;<?xml version="1.0" encoding="utf-8"?><Relationships xmlns="http://schemas.openxmlformats.org/package/2006/relationships"><Relationship Type="http://schemas.openxmlformats.org/officeDocument/2006/relationships/table" Target="/xl/tables/table4.xml" Id="R1ce03a768a2d4a32" /></Relationships>
</file>

<file path=xl/worksheets/_rels/sheet6.xml.rels>&#65279;<?xml version="1.0" encoding="utf-8"?><Relationships xmlns="http://schemas.openxmlformats.org/package/2006/relationships"><Relationship Type="http://schemas.openxmlformats.org/officeDocument/2006/relationships/table" Target="/xl/tables/table5.xml" Id="R922de830c1074228"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3" max="3" width="34" hidden="0" customWidth="1"/>
    <x:col min="4" max="4" width="22" hidden="0" customWidth="1"/>
    <x:col min="6" max="6" width="18" hidden="0" customWidth="1"/>
    <x:col min="7" max="7" width="16" hidden="0" customWidth="1"/>
    <x:col min="8" max="8" width="38" hidden="0" customWidth="1"/>
    <x:col min="9" max="9" width="42" hidden="0" customWidth="1"/>
    <x:col min="10" max="10" width="30" hidden="0" customWidth="1"/>
  </x:cols>
  <x:sheetData>
    <x:row r="1" ht="30" customHeight="1">
      <x:c r="A1" s="5" t="str">
        <x:v>18个月实施路线：WBS、RACI、里程碑、风险与验收控制台</x:v>
      </x:c>
      <x:c r="B1" s="5"/>
      <x:c r="C1" s="5"/>
      <x:c r="D1" s="5"/>
      <x:c r="E1" s="5"/>
      <x:c r="F1" s="5"/>
      <x:c r="G1" s="5"/>
      <x:c r="H1" s="5"/>
      <x:c r="I1" s="5"/>
      <x:c r="J1" s="5"/>
      <x:c r="K1" s="5"/>
      <x:c r="L1" s="5"/>
    </x:row>
    <x:row r="2" ht="28" customHeight="1">
      <x:c r="A2" s="12" t="str">
        <x:v>建议以P0治理准备、P1标准/MDM/质量、P2 CDR/互操作/五乙、P3闭环/CDSS/六级、P4科研AI持续运营推进。</x:v>
      </x:c>
      <x:c r="B2" s="12"/>
      <x:c r="C2" s="12"/>
      <x:c r="D2" s="12"/>
      <x:c r="E2" s="12"/>
      <x:c r="F2" s="12"/>
      <x:c r="G2" s="12"/>
      <x:c r="H2" s="12"/>
      <x:c r="I2" s="12"/>
      <x:c r="J2" s="12"/>
      <x:c r="K2" s="12"/>
      <x:c r="L2" s="12"/>
    </x:row>
    <x:row r="4">
      <x:c r="A4" s="40" t="str">
        <x:v>KPI</x:v>
      </x:c>
      <x:c r="B4" s="41" t="str">
        <x:v>数值</x:v>
      </x:c>
      <x:c r="C4" s="41" t="str">
        <x:v>目标/说明</x:v>
      </x:c>
      <x:c r="D4" s="42" t="str">
        <x:v>来源</x:v>
      </x:c>
      <x:c r="F4" s="40" t="str">
        <x:v>阶段</x:v>
      </x:c>
      <x:c r="G4" s="41" t="str">
        <x:v>建议周期</x:v>
      </x:c>
      <x:c r="H4" s="41" t="str">
        <x:v>核心目标</x:v>
      </x:c>
      <x:c r="I4" s="41" t="str">
        <x:v>退出条件</x:v>
      </x:c>
      <x:c r="J4" s="42" t="str">
        <x:v>主责</x:v>
      </x:c>
    </x:row>
    <x:row r="5">
      <x:c r="A5" s="43" t="str">
        <x:v>WBS任务</x:v>
      </x:c>
      <x:c r="B5" s="35" t="n">
        <x:f>COUNTA('WBS'!A5:A300)</x:f>
        <x:v>139</x:v>
      </x:c>
      <x:c r="C5" s="44" t="str">
        <x:v>139项</x:v>
      </x:c>
      <x:c r="D5" s="45" t="str">
        <x:v>WBS</x:v>
      </x:c>
      <x:c r="F5" s="63" t="str">
        <x:v>P0 治理准备</x:v>
      </x:c>
      <x:c r="G5" s="60" t="str">
        <x:v>第1-2月</x:v>
      </x:c>
      <x:c r="H5" s="60" t="str">
        <x:v>组织、现状、制度、范围、架构和基线</x:v>
      </x:c>
      <x:c r="I5" s="60" t="str">
        <x:v>章程/任命/现状/路线签字</x:v>
      </x:c>
      <x:c r="J5" s="64" t="str">
        <x:v>治理委员会/治理办</x:v>
      </x:c>
    </x:row>
    <x:row r="6">
      <x:c r="A6" s="43" t="str">
        <x:v>已完成</x:v>
      </x:c>
      <x:c r="B6" s="35" t="n">
        <x:f>COUNTIF('WBS'!N5:N300,"已完成")</x:f>
        <x:v>0</x:v>
      </x:c>
      <x:c r="C6" s="44" t="str">
        <x:v>持续提升</x:v>
      </x:c>
      <x:c r="D6" s="45" t="str">
        <x:v>WBS状态</x:v>
      </x:c>
      <x:c r="F6" s="63" t="str">
        <x:v>P1 治理底座</x:v>
      </x:c>
      <x:c r="G6" s="60" t="str">
        <x:v>第2-6月</x:v>
      </x:c>
      <x:c r="H6" s="60" t="str">
        <x:v>标准术语、患者/组织/人员MDM、元数据质量和安全</x:v>
      </x:c>
      <x:c r="I6" s="60" t="str">
        <x:v>P0对象试点上线，门禁/目录/工作流可用</x:v>
      </x:c>
      <x:c r="J6" s="64" t="str">
        <x:v>标准/MDM/质量/安全组</x:v>
      </x:c>
    </x:row>
    <x:row r="7">
      <x:c r="A7" s="43" t="str">
        <x:v>加权完成率</x:v>
      </x:c>
      <x:c r="B7" s="38" t="n">
        <x:f>IFERROR(SUMPRODUCT('WBS'!O5:O300,'WBS'!G5:G300)/SUM('WBS'!G5:G300),0)</x:f>
        <x:v>0</x:v>
      </x:c>
      <x:c r="C7" s="44" t="str">
        <x:v>按工期加权</x:v>
      </x:c>
      <x:c r="D7" s="45" t="str">
        <x:v>WBS</x:v>
      </x:c>
      <x:c r="F7" s="63" t="str">
        <x:v>P2 五乙主体</x:v>
      </x:c>
      <x:c r="G7" s="60" t="str">
        <x:v>第5-12月</x:v>
      </x:c>
      <x:c r="H7" s="60" t="str">
        <x:v>CDR、共享文档、API/事件、系统接入、外联和证据</x:v>
      </x:c>
      <x:c r="I7" s="60" t="str">
        <x:v>18+10系统、7家外联、五乙模拟通过</x:v>
      </x:c>
      <x:c r="J7" s="64" t="str">
        <x:v>平台/CDR/集成/项目办</x:v>
      </x:c>
    </x:row>
    <x:row r="8">
      <x:c r="A8" s="43" t="str">
        <x:v>里程碑</x:v>
      </x:c>
      <x:c r="B8" s="35" t="n">
        <x:f>COUNTA('里程碑'!A5:A30)</x:f>
        <x:v>7</x:v>
      </x:c>
      <x:c r="C8" s="44" t="str">
        <x:v>7个</x:v>
      </x:c>
      <x:c r="D8" s="45" t="str">
        <x:v>里程碑</x:v>
      </x:c>
      <x:c r="F8" s="63" t="str">
        <x:v>P3 六级场景</x:v>
      </x:c>
      <x:c r="G8" s="60" t="str">
        <x:v>第9-18月</x:v>
      </x:c>
      <x:c r="H8" s="60" t="str">
        <x:v>全流程闭环、知识库、CDSS、十类角色场景</x:v>
      </x:c>
      <x:c r="I8" s="60" t="str">
        <x:v>重点闭环、4类知识库、2类CDSS/30节点和模拟通过</x:v>
      </x:c>
      <x:c r="J8" s="64" t="str">
        <x:v>医务/护理/药学/临床科室</x:v>
      </x:c>
    </x:row>
    <x:row r="9">
      <x:c r="A9" s="43" t="str">
        <x:v>开放高/极高风险</x:v>
      </x:c>
      <x:c r="B9" s="35" t="n">
        <x:f>COUNTIFS('风险台账'!F5:F100,"高",'风险台账'!I5:I100,"&lt;&gt;关闭")+COUNTIFS('风险台账'!F5:F100,"极高",'风险台账'!I5:I100,"&lt;&gt;关闭")</x:f>
        <x:v>16</x:v>
      </x:c>
      <x:c r="C9" s="44" t="str">
        <x:v>趋近0</x:v>
      </x:c>
      <x:c r="D9" s="45" t="str">
        <x:v>风险台账</x:v>
      </x:c>
      <x:c r="F9" s="65" t="str">
        <x:v>P4 持续提升</x:v>
      </x:c>
      <x:c r="G9" s="66" t="str">
        <x:v>第13月起</x:v>
      </x:c>
      <x:c r="H9" s="66" t="str">
        <x:v>科研AI、数据产品、精细运营和持续成熟度</x:v>
      </x:c>
      <x:c r="I9" s="66" t="str">
        <x:v>3类科研应用、模型/特征治理、KPI稳定</x:v>
      </x:c>
      <x:c r="J9" s="67" t="str">
        <x:v>临床研究部/数据中心</x:v>
      </x:c>
    </x:row>
    <x:row r="10">
      <x:c r="A10" s="46" t="str">
        <x:v>P0测试通过率</x:v>
      </x:c>
      <x:c r="B10" s="47" t="n">
        <x:f>IFERROR(COUNTIFS('测试计划'!F5:F100,"P0",'测试计划'!H5:H100,"通过")/COUNTIF('测试计划'!F5:F100,"P0"),0)</x:f>
        <x:v>0</x:v>
      </x:c>
      <x:c r="C10" s="48" t="str">
        <x:v>上线前100%</x:v>
      </x:c>
      <x:c r="D10" s="49" t="str">
        <x:v>测试计划</x:v>
      </x:c>
    </x:row>
    <x:row r="12">
      <x:c r="F12" s="19" t="str">
        <x:v>工作流</x:v>
      </x:c>
      <x:c r="G12" s="19" t="str">
        <x:v>任务数</x:v>
      </x:c>
    </x:row>
    <x:row r="13">
      <x:c r="F13" s="73" t="str">
        <x:v>项目治理与组织</x:v>
      </x:c>
      <x:c r="G13" s="74" t="n">
        <x:v>6</x:v>
      </x:c>
    </x:row>
    <x:row r="14">
      <x:c r="F14" s="75" t="str">
        <x:v>标准与术语</x:v>
      </x:c>
      <x:c r="G14" s="45" t="n">
        <x:v>16</x:v>
      </x:c>
    </x:row>
    <x:row r="15">
      <x:c r="F15" s="75" t="str">
        <x:v>MDM</x:v>
      </x:c>
      <x:c r="G15" s="45" t="n">
        <x:v>20</x:v>
      </x:c>
    </x:row>
    <x:row r="16">
      <x:c r="F16" s="75" t="str">
        <x:v>集成与CDR</x:v>
      </x:c>
      <x:c r="G16" s="45" t="n">
        <x:v>20</x:v>
      </x:c>
    </x:row>
    <x:row r="17">
      <x:c r="F17" s="75" t="str">
        <x:v>元数据质量</x:v>
      </x:c>
      <x:c r="G17" s="45" t="n">
        <x:v>10</x:v>
      </x:c>
    </x:row>
    <x:row r="18">
      <x:c r="F18" s="75" t="str">
        <x:v>数据服务与互操作</x:v>
      </x:c>
      <x:c r="G18" s="45" t="n">
        <x:v>9</x:v>
      </x:c>
    </x:row>
    <x:row r="19">
      <x:c r="F19" s="75" t="str">
        <x:v>闭环与CDSS</x:v>
      </x:c>
      <x:c r="G19" s="45" t="n">
        <x:v>20</x:v>
      </x:c>
    </x:row>
    <x:row r="20">
      <x:c r="F20" s="75" t="str">
        <x:v>安全合规与运维</x:v>
      </x:c>
      <x:c r="G20" s="45" t="n">
        <x:v>10</x:v>
      </x:c>
    </x:row>
    <x:row r="21">
      <x:c r="F21" s="75" t="str">
        <x:v>评测验收与推广</x:v>
      </x:c>
      <x:c r="G21" s="45" t="n">
        <x:v>20</x:v>
      </x:c>
    </x:row>
    <x:row r="22">
      <x:c r="F22" s="76" t="str">
        <x:v>科研与AI</x:v>
      </x:c>
      <x:c r="G22" s="49" t="n">
        <x:v>8</x:v>
      </x:c>
    </x:row>
  </x:sheetData>
  <x:mergeCells>
    <x:mergeCell ref="A1:L1"/>
    <x:mergeCell ref="A2:L2"/>
  </x:mergeCells>
  <x:pageMargins left="0.7" right="0.7" top="0.75" bottom="0.75" header="0.3" footer="0.3"/>
  <x:drawing xmlns:r="http://schemas.openxmlformats.org/officeDocument/2006/relationships" r:id="Ree1e07d2aecf4364"/>
</x:worksheet>
</file>

<file path=xl/worksheets/sheet2.xml><?xml version="1.0" encoding="utf-8"?>
<x:worksheet xmlns:x="http://schemas.openxmlformats.org/spreadsheetml/2006/main">
  <x:sheetFormatPr defaultRowHeight="15"/>
  <x:cols>
    <x:col min="1" max="1" width="16" hidden="0" customWidth="1"/>
    <x:col min="2" max="2" width="10" hidden="0" customWidth="1"/>
    <x:col min="3" max="3" width="22" hidden="0" customWidth="1"/>
    <x:col min="4" max="4" width="50" hidden="0" customWidth="1"/>
    <x:col min="5" max="5" width="13" hidden="0" customWidth="1"/>
    <x:col min="6" max="6" width="13" hidden="0" customWidth="1"/>
    <x:col min="7" max="7" width="10" hidden="0" customWidth="1"/>
    <x:col min="8" max="8" width="16" hidden="0" customWidth="1"/>
    <x:col min="9" max="9" width="22" hidden="0" customWidth="1"/>
    <x:col min="10" max="10" width="18" hidden="0" customWidth="1"/>
    <x:col min="11" max="11" width="28" hidden="0" customWidth="1"/>
    <x:col min="12" max="12" width="45" hidden="0" customWidth="1"/>
    <x:col min="13" max="13" width="45" hidden="0" customWidth="1"/>
    <x:col min="14" max="14" width="12" hidden="0" customWidth="1"/>
    <x:col min="15" max="15" width="12" hidden="0" customWidth="1"/>
    <x:col min="16" max="16" width="10" hidden="0" customWidth="1"/>
    <x:col min="17" max="17" width="34" hidden="0" customWidth="1"/>
    <x:col min="18" max="18" width="14" hidden="0" customWidth="1"/>
  </x:cols>
  <x:sheetData>
    <x:row r="1" ht="30" customHeight="1">
      <x:c r="A1" s="5" t="str">
        <x:v>详细实施任务清单</x:v>
      </x:c>
      <x:c r="B1" s="5"/>
      <x:c r="C1" s="5"/>
      <x:c r="D1" s="5"/>
      <x:c r="E1" s="5"/>
      <x:c r="F1" s="5"/>
      <x:c r="G1" s="5"/>
      <x:c r="H1" s="5"/>
      <x:c r="I1" s="5"/>
      <x:c r="J1" s="5"/>
      <x:c r="K1" s="5"/>
      <x:c r="L1" s="5"/>
      <x:c r="M1" s="5"/>
      <x:c r="N1" s="5"/>
      <x:c r="O1" s="5"/>
      <x:c r="P1" s="5"/>
      <x:c r="Q1" s="5"/>
      <x:c r="R1" s="5"/>
    </x:row>
    <x:row r="2" ht="28" customHeight="1">
      <x:c r="A2" s="12" t="str">
        <x:v>日期以2026-08-01为参考起点，可整体平移；任务和里程碑必须进入医院正式项目管理系统。</x:v>
      </x:c>
      <x:c r="B2" s="12"/>
      <x:c r="C2" s="12"/>
      <x:c r="D2" s="12"/>
      <x:c r="E2" s="12"/>
      <x:c r="F2" s="12"/>
      <x:c r="G2" s="12"/>
      <x:c r="H2" s="12"/>
      <x:c r="I2" s="12"/>
      <x:c r="J2" s="12"/>
      <x:c r="K2" s="12"/>
      <x:c r="L2" s="12"/>
      <x:c r="M2" s="12"/>
      <x:c r="N2" s="12"/>
      <x:c r="O2" s="12"/>
      <x:c r="P2" s="12"/>
      <x:c r="Q2" s="12"/>
      <x:c r="R2" s="12"/>
    </x:row>
    <x:row r="4">
      <x:c r="A4" s="40" t="str">
        <x:v>WBS</x:v>
      </x:c>
      <x:c r="B4" s="41" t="str">
        <x:v>阶段</x:v>
      </x:c>
      <x:c r="C4" s="41" t="str">
        <x:v>工作流</x:v>
      </x:c>
      <x:c r="D4" s="41" t="str">
        <x:v>任务</x:v>
      </x:c>
      <x:c r="E4" s="41" t="str">
        <x:v>开始日期</x:v>
      </x:c>
      <x:c r="F4" s="41" t="str">
        <x:v>结束日期</x:v>
      </x:c>
      <x:c r="G4" s="41" t="str">
        <x:v>工期天</x:v>
      </x:c>
      <x:c r="H4" s="41" t="str">
        <x:v>前置任务</x:v>
      </x:c>
      <x:c r="I4" s="41" t="str">
        <x:v>责任部门</x:v>
      </x:c>
      <x:c r="J4" s="41" t="str">
        <x:v>责任角色</x:v>
      </x:c>
      <x:c r="K4" s="41" t="str">
        <x:v>参与部门</x:v>
      </x:c>
      <x:c r="L4" s="41" t="str">
        <x:v>交付物</x:v>
      </x:c>
      <x:c r="M4" s="41" t="str">
        <x:v>验收标准</x:v>
      </x:c>
      <x:c r="N4" s="41" t="str">
        <x:v>状态</x:v>
      </x:c>
      <x:c r="O4" s="41" t="str">
        <x:v>完成率</x:v>
      </x:c>
      <x:c r="P4" s="41" t="str">
        <x:v>优先级</x:v>
      </x:c>
      <x:c r="Q4" s="41" t="str">
        <x:v>证据链接</x:v>
      </x:c>
      <x:c r="R4" s="42" t="str">
        <x:v>计划偏差天</x:v>
      </x:c>
    </x:row>
    <x:row r="5">
      <x:c r="A5" s="63" t="str">
        <x:v>P0.1.1.1</x:v>
      </x:c>
      <x:c r="B5" s="60" t="str">
        <x:v>P0</x:v>
      </x:c>
      <x:c r="C5" s="60" t="str">
        <x:v>项目治理与组织</x:v>
      </x:c>
      <x:c r="D5" s="60" t="str">
        <x:v>成立治理委员会与办公室</x:v>
      </x:c>
      <x:c r="E5" s="81" t="n">
        <x:v>46235</x:v>
      </x:c>
      <x:c r="F5" s="81" t="n">
        <x:v>46239</x:v>
      </x:c>
      <x:c r="G5" s="60" t="n">
        <x:v>5</x:v>
      </x:c>
      <x:c r="H5" s="60" t="str"/>
      <x:c r="I5" s="60" t="str">
        <x:v>治理办</x:v>
      </x:c>
      <x:c r="J5" s="60" t="str">
        <x:v>工作流负责人</x:v>
      </x:c>
      <x:c r="K5" s="60" t="str">
        <x:v>相关业务科室/厂商</x:v>
      </x:c>
      <x:c r="L5" s="60" t="str">
        <x:v>经评审的成立治理委员会与办公室交付物</x:v>
      </x:c>
      <x:c r="M5" s="60" t="str">
        <x:v>内容完整、可执行、与总体模型和标准一致</x:v>
      </x:c>
      <x:c r="N5" s="60" t="str">
        <x:v>未开始</x:v>
      </x:c>
      <x:c r="O5" s="85" t="n">
        <x:v>0</x:v>
      </x:c>
      <x:c r="P5" s="60" t="str">
        <x:v>P0</x:v>
      </x:c>
      <x:c r="Q5" s="60" t="str"/>
      <x:c r="R5" s="64" t="n">
        <x:f>IF(OR(N5="已完成",N5="不适用"),0,MAX(0,TODAY()-F5))</x:f>
        <x:v>0</x:v>
      </x:c>
    </x:row>
    <x:row r="6">
      <x:c r="A6" s="63" t="str">
        <x:v>P0.1.2.1</x:v>
      </x:c>
      <x:c r="B6" s="60" t="str">
        <x:v>P0</x:v>
      </x:c>
      <x:c r="C6" s="60" t="str">
        <x:v>项目治理与组织</x:v>
      </x:c>
      <x:c r="D6" s="60" t="str">
        <x:v>明确Owner/数据管家/技术Owner</x:v>
      </x:c>
      <x:c r="E6" s="81" t="n">
        <x:v>46242</x:v>
      </x:c>
      <x:c r="F6" s="81" t="n">
        <x:v>46246</x:v>
      </x:c>
      <x:c r="G6" s="60" t="n">
        <x:v>5</x:v>
      </x:c>
      <x:c r="H6" s="60" t="str"/>
      <x:c r="I6" s="60" t="str">
        <x:v>治理办</x:v>
      </x:c>
      <x:c r="J6" s="60" t="str">
        <x:v>工作流负责人</x:v>
      </x:c>
      <x:c r="K6" s="60" t="str">
        <x:v>相关业务科室/厂商</x:v>
      </x:c>
      <x:c r="L6" s="60" t="str">
        <x:v>经评审的明确Owner/数据管家/技术Owner交付物</x:v>
      </x:c>
      <x:c r="M6" s="60" t="str">
        <x:v>内容完整、可执行、与总体模型和标准一致</x:v>
      </x:c>
      <x:c r="N6" s="60" t="str">
        <x:v>未开始</x:v>
      </x:c>
      <x:c r="O6" s="85" t="n">
        <x:v>0</x:v>
      </x:c>
      <x:c r="P6" s="60" t="str">
        <x:v>P0</x:v>
      </x:c>
      <x:c r="Q6" s="60" t="str"/>
      <x:c r="R6" s="64" t="n">
        <x:f>IF(OR(N6="已完成",N6="不适用"),0,MAX(0,TODAY()-F6))</x:f>
        <x:v>0</x:v>
      </x:c>
    </x:row>
    <x:row r="7">
      <x:c r="A7" s="63" t="str">
        <x:v>P0.1.3.1</x:v>
      </x:c>
      <x:c r="B7" s="60" t="str">
        <x:v>P0</x:v>
      </x:c>
      <x:c r="C7" s="60" t="str">
        <x:v>项目治理与组织</x:v>
      </x:c>
      <x:c r="D7" s="60" t="str">
        <x:v>制定章程范围目标和度量</x:v>
      </x:c>
      <x:c r="E7" s="81" t="n">
        <x:v>46249</x:v>
      </x:c>
      <x:c r="F7" s="81" t="n">
        <x:v>46253</x:v>
      </x:c>
      <x:c r="G7" s="60" t="n">
        <x:v>5</x:v>
      </x:c>
      <x:c r="H7" s="60" t="str"/>
      <x:c r="I7" s="60" t="str">
        <x:v>治理办</x:v>
      </x:c>
      <x:c r="J7" s="60" t="str">
        <x:v>工作流负责人</x:v>
      </x:c>
      <x:c r="K7" s="60" t="str">
        <x:v>相关业务科室/厂商</x:v>
      </x:c>
      <x:c r="L7" s="60" t="str">
        <x:v>经评审的制定章程范围目标和度量交付物</x:v>
      </x:c>
      <x:c r="M7" s="60" t="str">
        <x:v>内容完整、可执行、与总体模型和标准一致</x:v>
      </x:c>
      <x:c r="N7" s="60" t="str">
        <x:v>未开始</x:v>
      </x:c>
      <x:c r="O7" s="85" t="n">
        <x:v>0</x:v>
      </x:c>
      <x:c r="P7" s="60" t="str">
        <x:v>P0</x:v>
      </x:c>
      <x:c r="Q7" s="60" t="str"/>
      <x:c r="R7" s="64" t="n">
        <x:f>IF(OR(N7="已完成",N7="不适用"),0,MAX(0,TODAY()-F7))</x:f>
        <x:v>0</x:v>
      </x:c>
    </x:row>
    <x:row r="8">
      <x:c r="A8" s="63" t="str">
        <x:v>P0.1.4.1</x:v>
      </x:c>
      <x:c r="B8" s="60" t="str">
        <x:v>P0</x:v>
      </x:c>
      <x:c r="C8" s="60" t="str">
        <x:v>项目治理与组织</x:v>
      </x:c>
      <x:c r="D8" s="60" t="str">
        <x:v>建立周会双周评审月度质量会季度委员会</x:v>
      </x:c>
      <x:c r="E8" s="81" t="n">
        <x:v>46256</x:v>
      </x:c>
      <x:c r="F8" s="81" t="n">
        <x:v>46260</x:v>
      </x:c>
      <x:c r="G8" s="60" t="n">
        <x:v>5</x:v>
      </x:c>
      <x:c r="H8" s="60" t="str"/>
      <x:c r="I8" s="60" t="str">
        <x:v>治理办</x:v>
      </x:c>
      <x:c r="J8" s="60" t="str">
        <x:v>工作流负责人</x:v>
      </x:c>
      <x:c r="K8" s="60" t="str">
        <x:v>相关业务科室/厂商</x:v>
      </x:c>
      <x:c r="L8" s="60" t="str">
        <x:v>经评审的建立周会双周评审月度质量会季度委员会交付物</x:v>
      </x:c>
      <x:c r="M8" s="60" t="str">
        <x:v>内容完整、可执行、与总体模型和标准一致</x:v>
      </x:c>
      <x:c r="N8" s="60" t="str">
        <x:v>未开始</x:v>
      </x:c>
      <x:c r="O8" s="85" t="n">
        <x:v>0</x:v>
      </x:c>
      <x:c r="P8" s="60" t="str">
        <x:v>P0</x:v>
      </x:c>
      <x:c r="Q8" s="60" t="str"/>
      <x:c r="R8" s="64" t="n">
        <x:f>IF(OR(N8="已完成",N8="不适用"),0,MAX(0,TODAY()-F8))</x:f>
        <x:v>0</x:v>
      </x:c>
    </x:row>
    <x:row r="9">
      <x:c r="A9" s="63" t="str">
        <x:v>P0.1.5.1</x:v>
      </x:c>
      <x:c r="B9" s="60" t="str">
        <x:v>P0</x:v>
      </x:c>
      <x:c r="C9" s="60" t="str">
        <x:v>项目治理与组织</x:v>
      </x:c>
      <x:c r="D9" s="60" t="str">
        <x:v>建立需求变更风险问题决策日志</x:v>
      </x:c>
      <x:c r="E9" s="81" t="n">
        <x:v>46263</x:v>
      </x:c>
      <x:c r="F9" s="81" t="n">
        <x:v>46267</x:v>
      </x:c>
      <x:c r="G9" s="60" t="n">
        <x:v>5</x:v>
      </x:c>
      <x:c r="H9" s="60" t="str"/>
      <x:c r="I9" s="60" t="str">
        <x:v>治理办</x:v>
      </x:c>
      <x:c r="J9" s="60" t="str">
        <x:v>工作流负责人</x:v>
      </x:c>
      <x:c r="K9" s="60" t="str">
        <x:v>相关业务科室/厂商</x:v>
      </x:c>
      <x:c r="L9" s="60" t="str">
        <x:v>经评审的建立需求变更风险问题决策日志交付物</x:v>
      </x:c>
      <x:c r="M9" s="60" t="str">
        <x:v>内容完整、可执行、与总体模型和标准一致</x:v>
      </x:c>
      <x:c r="N9" s="60" t="str">
        <x:v>未开始</x:v>
      </x:c>
      <x:c r="O9" s="85" t="n">
        <x:v>0</x:v>
      </x:c>
      <x:c r="P9" s="60" t="str">
        <x:v>P0</x:v>
      </x:c>
      <x:c r="Q9" s="60" t="str"/>
      <x:c r="R9" s="64" t="n">
        <x:f>IF(OR(N9="已完成",N9="不适用"),0,MAX(0,TODAY()-F9))</x:f>
        <x:v>0</x:v>
      </x:c>
    </x:row>
    <x:row r="10">
      <x:c r="A10" s="63" t="str">
        <x:v>P0.1.6.1</x:v>
      </x:c>
      <x:c r="B10" s="60" t="str">
        <x:v>P0</x:v>
      </x:c>
      <x:c r="C10" s="60" t="str">
        <x:v>项目治理与组织</x:v>
      </x:c>
      <x:c r="D10" s="60" t="str">
        <x:v>制定供应商协同和知识转移</x:v>
      </x:c>
      <x:c r="E10" s="81" t="n">
        <x:v>46270</x:v>
      </x:c>
      <x:c r="F10" s="81" t="n">
        <x:v>46274</x:v>
      </x:c>
      <x:c r="G10" s="60" t="n">
        <x:v>5</x:v>
      </x:c>
      <x:c r="H10" s="60" t="str"/>
      <x:c r="I10" s="60" t="str">
        <x:v>治理办</x:v>
      </x:c>
      <x:c r="J10" s="60" t="str">
        <x:v>工作流负责人</x:v>
      </x:c>
      <x:c r="K10" s="60" t="str">
        <x:v>相关业务科室/厂商</x:v>
      </x:c>
      <x:c r="L10" s="60" t="str">
        <x:v>经评审的制定供应商协同和知识转移交付物</x:v>
      </x:c>
      <x:c r="M10" s="60" t="str">
        <x:v>内容完整、可执行、与总体模型和标准一致</x:v>
      </x:c>
      <x:c r="N10" s="60" t="str">
        <x:v>未开始</x:v>
      </x:c>
      <x:c r="O10" s="85" t="n">
        <x:v>0</x:v>
      </x:c>
      <x:c r="P10" s="60" t="str">
        <x:v>P0</x:v>
      </x:c>
      <x:c r="Q10" s="60" t="str"/>
      <x:c r="R10" s="64" t="n">
        <x:f>IF(OR(N10="已完成",N10="不适用"),0,MAX(0,TODAY()-F10))</x:f>
        <x:v>0</x:v>
      </x:c>
    </x:row>
    <x:row r="11">
      <x:c r="A11" s="63" t="str">
        <x:v>P1.2.1.1</x:v>
      </x:c>
      <x:c r="B11" s="60" t="str">
        <x:v>P1</x:v>
      </x:c>
      <x:c r="C11" s="60" t="str">
        <x:v>标准与术语</x:v>
      </x:c>
      <x:c r="D11" s="60" t="str">
        <x:v>盘点附件121项术语和院内字典</x:v>
      </x:c>
      <x:c r="E11" s="81" t="n">
        <x:v>46284</x:v>
      </x:c>
      <x:c r="F11" s="81" t="n">
        <x:v>46288</x:v>
      </x:c>
      <x:c r="G11" s="60" t="n">
        <x:v>5</x:v>
      </x:c>
      <x:c r="H11" s="60" t="str"/>
      <x:c r="I11" s="60" t="str">
        <x:v>标准规范组</x:v>
      </x:c>
      <x:c r="J11" s="60" t="str">
        <x:v>工作流负责人</x:v>
      </x:c>
      <x:c r="K11" s="60" t="str">
        <x:v>相关业务科室/厂商</x:v>
      </x:c>
      <x:c r="L11" s="60" t="str">
        <x:v>经评审的盘点附件121项术语和院内字典交付物</x:v>
      </x:c>
      <x:c r="M11" s="60" t="str">
        <x:v>内容完整、可执行、与总体模型和标准一致</x:v>
      </x:c>
      <x:c r="N11" s="60" t="str">
        <x:v>未开始</x:v>
      </x:c>
      <x:c r="O11" s="85" t="n">
        <x:v>0</x:v>
      </x:c>
      <x:c r="P11" s="60" t="str">
        <x:v>P0</x:v>
      </x:c>
      <x:c r="Q11" s="60" t="str"/>
      <x:c r="R11" s="64" t="n">
        <x:f>IF(OR(N11="已完成",N11="不适用"),0,MAX(0,TODAY()-F11))</x:f>
        <x:v>0</x:v>
      </x:c>
    </x:row>
    <x:row r="12">
      <x:c r="A12" s="63" t="str">
        <x:v>P1.2.1.2</x:v>
      </x:c>
      <x:c r="B12" s="60" t="str">
        <x:v>P1</x:v>
      </x:c>
      <x:c r="C12" s="60" t="str">
        <x:v>标准与术语</x:v>
      </x:c>
      <x:c r="D12" s="60" t="str">
        <x:v>盘点附件121项术语和院内字典：完成评审并纳入版本基线</x:v>
      </x:c>
      <x:c r="E12" s="81" t="n">
        <x:v>46288</x:v>
      </x:c>
      <x:c r="F12" s="81" t="n">
        <x:v>46290</x:v>
      </x:c>
      <x:c r="G12" s="60" t="n">
        <x:v>3</x:v>
      </x:c>
      <x:c r="H12" s="60" t="str"/>
      <x:c r="I12" s="60" t="str">
        <x:v>标准规范组</x:v>
      </x:c>
      <x:c r="J12" s="60" t="str">
        <x:v>工作流负责人</x:v>
      </x:c>
      <x:c r="K12" s="60" t="str">
        <x:v>相关业务科室/厂商</x:v>
      </x:c>
      <x:c r="L12" s="60" t="str">
        <x:v>评审纪要、问题清单和版本基线</x:v>
      </x:c>
      <x:c r="M12" s="60" t="str">
        <x:v>业务、技术、测试共同签字，证据可追溯</x:v>
      </x:c>
      <x:c r="N12" s="60" t="str">
        <x:v>未开始</x:v>
      </x:c>
      <x:c r="O12" s="85" t="n">
        <x:v>0</x:v>
      </x:c>
      <x:c r="P12" s="60" t="str">
        <x:v>P0</x:v>
      </x:c>
      <x:c r="Q12" s="60" t="str"/>
      <x:c r="R12" s="64" t="n">
        <x:f>IF(OR(N12="已完成",N12="不适用"),0,MAX(0,TODAY()-F12))</x:f>
        <x:v>0</x:v>
      </x:c>
    </x:row>
    <x:row r="13">
      <x:c r="A13" s="63" t="str">
        <x:v>P1.2.2.1</x:v>
      </x:c>
      <x:c r="B13" s="60" t="str">
        <x:v>P1</x:v>
      </x:c>
      <x:c r="C13" s="60" t="str">
        <x:v>标准与术语</x:v>
      </x:c>
      <x:c r="D13" s="60" t="str">
        <x:v>确定P0/P1/P2优先级与责任</x:v>
      </x:c>
      <x:c r="E13" s="81" t="n">
        <x:v>46291</x:v>
      </x:c>
      <x:c r="F13" s="81" t="n">
        <x:v>46295</x:v>
      </x:c>
      <x:c r="G13" s="60" t="n">
        <x:v>5</x:v>
      </x:c>
      <x:c r="H13" s="60" t="str"/>
      <x:c r="I13" s="60" t="str">
        <x:v>标准规范组</x:v>
      </x:c>
      <x:c r="J13" s="60" t="str">
        <x:v>工作流负责人</x:v>
      </x:c>
      <x:c r="K13" s="60" t="str">
        <x:v>相关业务科室/厂商</x:v>
      </x:c>
      <x:c r="L13" s="60" t="str">
        <x:v>经评审的确定P0/P1/P2优先级与责任交付物</x:v>
      </x:c>
      <x:c r="M13" s="60" t="str">
        <x:v>内容完整、可执行、与总体模型和标准一致</x:v>
      </x:c>
      <x:c r="N13" s="60" t="str">
        <x:v>未开始</x:v>
      </x:c>
      <x:c r="O13" s="85" t="n">
        <x:v>0</x:v>
      </x:c>
      <x:c r="P13" s="60" t="str">
        <x:v>P0</x:v>
      </x:c>
      <x:c r="Q13" s="60" t="str"/>
      <x:c r="R13" s="64" t="n">
        <x:f>IF(OR(N13="已完成",N13="不适用"),0,MAX(0,TODAY()-F13))</x:f>
        <x:v>0</x:v>
      </x:c>
    </x:row>
    <x:row r="14">
      <x:c r="A14" s="63" t="str">
        <x:v>P1.2.2.2</x:v>
      </x:c>
      <x:c r="B14" s="60" t="str">
        <x:v>P1</x:v>
      </x:c>
      <x:c r="C14" s="60" t="str">
        <x:v>标准与术语</x:v>
      </x:c>
      <x:c r="D14" s="60" t="str">
        <x:v>确定P0/P1/P2优先级与责任：完成评审并纳入版本基线</x:v>
      </x:c>
      <x:c r="E14" s="81" t="n">
        <x:v>46295</x:v>
      </x:c>
      <x:c r="F14" s="81" t="n">
        <x:v>46297</x:v>
      </x:c>
      <x:c r="G14" s="60" t="n">
        <x:v>3</x:v>
      </x:c>
      <x:c r="H14" s="60" t="str"/>
      <x:c r="I14" s="60" t="str">
        <x:v>标准规范组</x:v>
      </x:c>
      <x:c r="J14" s="60" t="str">
        <x:v>工作流负责人</x:v>
      </x:c>
      <x:c r="K14" s="60" t="str">
        <x:v>相关业务科室/厂商</x:v>
      </x:c>
      <x:c r="L14" s="60" t="str">
        <x:v>评审纪要、问题清单和版本基线</x:v>
      </x:c>
      <x:c r="M14" s="60" t="str">
        <x:v>业务、技术、测试共同签字，证据可追溯</x:v>
      </x:c>
      <x:c r="N14" s="60" t="str">
        <x:v>未开始</x:v>
      </x:c>
      <x:c r="O14" s="85" t="n">
        <x:v>0</x:v>
      </x:c>
      <x:c r="P14" s="60" t="str">
        <x:v>P0</x:v>
      </x:c>
      <x:c r="Q14" s="60" t="str"/>
      <x:c r="R14" s="64" t="n">
        <x:f>IF(OR(N14="已完成",N14="不适用"),0,MAX(0,TODAY()-F14))</x:f>
        <x:v>0</x:v>
      </x:c>
    </x:row>
    <x:row r="15">
      <x:c r="A15" s="63" t="str">
        <x:v>P1.2.3.1</x:v>
      </x:c>
      <x:c r="B15" s="60" t="str">
        <x:v>P1</x:v>
      </x:c>
      <x:c r="C15" s="60" t="str">
        <x:v>标准与术语</x:v>
      </x:c>
      <x:c r="D15" s="60" t="str">
        <x:v>建立数据元值域代码术语注册模型</x:v>
      </x:c>
      <x:c r="E15" s="81" t="n">
        <x:v>46298</x:v>
      </x:c>
      <x:c r="F15" s="81" t="n">
        <x:v>46302</x:v>
      </x:c>
      <x:c r="G15" s="60" t="n">
        <x:v>5</x:v>
      </x:c>
      <x:c r="H15" s="60" t="str"/>
      <x:c r="I15" s="60" t="str">
        <x:v>标准规范组</x:v>
      </x:c>
      <x:c r="J15" s="60" t="str">
        <x:v>工作流负责人</x:v>
      </x:c>
      <x:c r="K15" s="60" t="str">
        <x:v>相关业务科室/厂商</x:v>
      </x:c>
      <x:c r="L15" s="60" t="str">
        <x:v>经评审的建立数据元值域代码术语注册模型交付物</x:v>
      </x:c>
      <x:c r="M15" s="60" t="str">
        <x:v>内容完整、可执行、与总体模型和标准一致</x:v>
      </x:c>
      <x:c r="N15" s="60" t="str">
        <x:v>未开始</x:v>
      </x:c>
      <x:c r="O15" s="85" t="n">
        <x:v>0</x:v>
      </x:c>
      <x:c r="P15" s="60" t="str">
        <x:v>P0</x:v>
      </x:c>
      <x:c r="Q15" s="60" t="str"/>
      <x:c r="R15" s="64" t="n">
        <x:f>IF(OR(N15="已完成",N15="不适用"),0,MAX(0,TODAY()-F15))</x:f>
        <x:v>0</x:v>
      </x:c>
    </x:row>
    <x:row r="16">
      <x:c r="A16" s="63" t="str">
        <x:v>P1.2.3.2</x:v>
      </x:c>
      <x:c r="B16" s="60" t="str">
        <x:v>P1</x:v>
      </x:c>
      <x:c r="C16" s="60" t="str">
        <x:v>标准与术语</x:v>
      </x:c>
      <x:c r="D16" s="60" t="str">
        <x:v>建立数据元值域代码术语注册模型：完成评审并纳入版本基线</x:v>
      </x:c>
      <x:c r="E16" s="81" t="n">
        <x:v>46302</x:v>
      </x:c>
      <x:c r="F16" s="81" t="n">
        <x:v>46304</x:v>
      </x:c>
      <x:c r="G16" s="60" t="n">
        <x:v>3</x:v>
      </x:c>
      <x:c r="H16" s="60" t="str"/>
      <x:c r="I16" s="60" t="str">
        <x:v>标准规范组</x:v>
      </x:c>
      <x:c r="J16" s="60" t="str">
        <x:v>工作流负责人</x:v>
      </x:c>
      <x:c r="K16" s="60" t="str">
        <x:v>相关业务科室/厂商</x:v>
      </x:c>
      <x:c r="L16" s="60" t="str">
        <x:v>评审纪要、问题清单和版本基线</x:v>
      </x:c>
      <x:c r="M16" s="60" t="str">
        <x:v>业务、技术、测试共同签字，证据可追溯</x:v>
      </x:c>
      <x:c r="N16" s="60" t="str">
        <x:v>未开始</x:v>
      </x:c>
      <x:c r="O16" s="85" t="n">
        <x:v>0</x:v>
      </x:c>
      <x:c r="P16" s="60" t="str">
        <x:v>P0</x:v>
      </x:c>
      <x:c r="Q16" s="60" t="str"/>
      <x:c r="R16" s="64" t="n">
        <x:f>IF(OR(N16="已完成",N16="不适用"),0,MAX(0,TODAY()-F16))</x:f>
        <x:v>0</x:v>
      </x:c>
    </x:row>
    <x:row r="17">
      <x:c r="A17" s="63" t="str">
        <x:v>P1.2.4.1</x:v>
      </x:c>
      <x:c r="B17" s="60" t="str">
        <x:v>P1</x:v>
      </x:c>
      <x:c r="C17" s="60" t="str">
        <x:v>标准与术语</x:v>
      </x:c>
      <x:c r="D17" s="60" t="str">
        <x:v>导入国家行业医保院内标准版本</x:v>
      </x:c>
      <x:c r="E17" s="81" t="n">
        <x:v>46305</x:v>
      </x:c>
      <x:c r="F17" s="81" t="n">
        <x:v>46309</x:v>
      </x:c>
      <x:c r="G17" s="60" t="n">
        <x:v>5</x:v>
      </x:c>
      <x:c r="H17" s="60" t="str"/>
      <x:c r="I17" s="60" t="str">
        <x:v>标准规范组</x:v>
      </x:c>
      <x:c r="J17" s="60" t="str">
        <x:v>工作流负责人</x:v>
      </x:c>
      <x:c r="K17" s="60" t="str">
        <x:v>相关业务科室/厂商</x:v>
      </x:c>
      <x:c r="L17" s="60" t="str">
        <x:v>经评审的导入国家行业医保院内标准版本交付物</x:v>
      </x:c>
      <x:c r="M17" s="60" t="str">
        <x:v>内容完整、可执行、与总体模型和标准一致</x:v>
      </x:c>
      <x:c r="N17" s="60" t="str">
        <x:v>未开始</x:v>
      </x:c>
      <x:c r="O17" s="85" t="n">
        <x:v>0</x:v>
      </x:c>
      <x:c r="P17" s="60" t="str">
        <x:v>P0</x:v>
      </x:c>
      <x:c r="Q17" s="60" t="str"/>
      <x:c r="R17" s="64" t="n">
        <x:f>IF(OR(N17="已完成",N17="不适用"),0,MAX(0,TODAY()-F17))</x:f>
        <x:v>0</x:v>
      </x:c>
    </x:row>
    <x:row r="18">
      <x:c r="A18" s="63" t="str">
        <x:v>P1.2.4.2</x:v>
      </x:c>
      <x:c r="B18" s="60" t="str">
        <x:v>P1</x:v>
      </x:c>
      <x:c r="C18" s="60" t="str">
        <x:v>标准与术语</x:v>
      </x:c>
      <x:c r="D18" s="60" t="str">
        <x:v>导入国家行业医保院内标准版本：完成评审并纳入版本基线</x:v>
      </x:c>
      <x:c r="E18" s="81" t="n">
        <x:v>46309</x:v>
      </x:c>
      <x:c r="F18" s="81" t="n">
        <x:v>46311</x:v>
      </x:c>
      <x:c r="G18" s="60" t="n">
        <x:v>3</x:v>
      </x:c>
      <x:c r="H18" s="60" t="str"/>
      <x:c r="I18" s="60" t="str">
        <x:v>标准规范组</x:v>
      </x:c>
      <x:c r="J18" s="60" t="str">
        <x:v>工作流负责人</x:v>
      </x:c>
      <x:c r="K18" s="60" t="str">
        <x:v>相关业务科室/厂商</x:v>
      </x:c>
      <x:c r="L18" s="60" t="str">
        <x:v>评审纪要、问题清单和版本基线</x:v>
      </x:c>
      <x:c r="M18" s="60" t="str">
        <x:v>业务、技术、测试共同签字，证据可追溯</x:v>
      </x:c>
      <x:c r="N18" s="60" t="str">
        <x:v>未开始</x:v>
      </x:c>
      <x:c r="O18" s="85" t="n">
        <x:v>0</x:v>
      </x:c>
      <x:c r="P18" s="60" t="str">
        <x:v>P0</x:v>
      </x:c>
      <x:c r="Q18" s="60" t="str"/>
      <x:c r="R18" s="64" t="n">
        <x:f>IF(OR(N18="已完成",N18="不适用"),0,MAX(0,TODAY()-F18))</x:f>
        <x:v>0</x:v>
      </x:c>
    </x:row>
    <x:row r="19">
      <x:c r="A19" s="63" t="str">
        <x:v>P1.2.5.1</x:v>
      </x:c>
      <x:c r="B19" s="60" t="str">
        <x:v>P1</x:v>
      </x:c>
      <x:c r="C19" s="60" t="str">
        <x:v>标准与术语</x:v>
      </x:c>
      <x:c r="D19" s="60" t="str">
        <x:v>完成科室人员患者诊断医嘱检验检查药品映射</x:v>
      </x:c>
      <x:c r="E19" s="81" t="n">
        <x:v>46312</x:v>
      </x:c>
      <x:c r="F19" s="81" t="n">
        <x:v>46316</x:v>
      </x:c>
      <x:c r="G19" s="60" t="n">
        <x:v>5</x:v>
      </x:c>
      <x:c r="H19" s="60" t="str"/>
      <x:c r="I19" s="60" t="str">
        <x:v>标准规范组</x:v>
      </x:c>
      <x:c r="J19" s="60" t="str">
        <x:v>工作流负责人</x:v>
      </x:c>
      <x:c r="K19" s="60" t="str">
        <x:v>相关业务科室/厂商</x:v>
      </x:c>
      <x:c r="L19" s="60" t="str">
        <x:v>经评审的完成科室人员患者诊断医嘱检验检查药品映射交付物</x:v>
      </x:c>
      <x:c r="M19" s="60" t="str">
        <x:v>内容完整、可执行、与总体模型和标准一致</x:v>
      </x:c>
      <x:c r="N19" s="60" t="str">
        <x:v>未开始</x:v>
      </x:c>
      <x:c r="O19" s="85" t="n">
        <x:v>0</x:v>
      </x:c>
      <x:c r="P19" s="60" t="str">
        <x:v>P0</x:v>
      </x:c>
      <x:c r="Q19" s="60" t="str"/>
      <x:c r="R19" s="64" t="n">
        <x:f>IF(OR(N19="已完成",N19="不适用"),0,MAX(0,TODAY()-F19))</x:f>
        <x:v>0</x:v>
      </x:c>
    </x:row>
    <x:row r="20">
      <x:c r="A20" s="63" t="str">
        <x:v>P1.2.5.2</x:v>
      </x:c>
      <x:c r="B20" s="60" t="str">
        <x:v>P1</x:v>
      </x:c>
      <x:c r="C20" s="60" t="str">
        <x:v>标准与术语</x:v>
      </x:c>
      <x:c r="D20" s="60" t="str">
        <x:v>完成科室人员患者诊断医嘱检验检查药品映射：完成评审并纳入版本基线</x:v>
      </x:c>
      <x:c r="E20" s="81" t="n">
        <x:v>46316</x:v>
      </x:c>
      <x:c r="F20" s="81" t="n">
        <x:v>46318</x:v>
      </x:c>
      <x:c r="G20" s="60" t="n">
        <x:v>3</x:v>
      </x:c>
      <x:c r="H20" s="60" t="str"/>
      <x:c r="I20" s="60" t="str">
        <x:v>标准规范组</x:v>
      </x:c>
      <x:c r="J20" s="60" t="str">
        <x:v>工作流负责人</x:v>
      </x:c>
      <x:c r="K20" s="60" t="str">
        <x:v>相关业务科室/厂商</x:v>
      </x:c>
      <x:c r="L20" s="60" t="str">
        <x:v>评审纪要、问题清单和版本基线</x:v>
      </x:c>
      <x:c r="M20" s="60" t="str">
        <x:v>业务、技术、测试共同签字，证据可追溯</x:v>
      </x:c>
      <x:c r="N20" s="60" t="str">
        <x:v>未开始</x:v>
      </x:c>
      <x:c r="O20" s="85" t="n">
        <x:v>0</x:v>
      </x:c>
      <x:c r="P20" s="60" t="str">
        <x:v>P0</x:v>
      </x:c>
      <x:c r="Q20" s="60" t="str"/>
      <x:c r="R20" s="64" t="n">
        <x:f>IF(OR(N20="已完成",N20="不适用"),0,MAX(0,TODAY()-F20))</x:f>
        <x:v>0</x:v>
      </x:c>
    </x:row>
    <x:row r="21">
      <x:c r="A21" s="63" t="str">
        <x:v>P1.2.6.1</x:v>
      </x:c>
      <x:c r="B21" s="60" t="str">
        <x:v>P1</x:v>
      </x:c>
      <x:c r="C21" s="60" t="str">
        <x:v>标准与术语</x:v>
      </x:c>
      <x:c r="D21" s="60" t="str">
        <x:v>建立冲突仲裁发布订阅回退</x:v>
      </x:c>
      <x:c r="E21" s="81" t="n">
        <x:v>46319</x:v>
      </x:c>
      <x:c r="F21" s="81" t="n">
        <x:v>46323</x:v>
      </x:c>
      <x:c r="G21" s="60" t="n">
        <x:v>5</x:v>
      </x:c>
      <x:c r="H21" s="60" t="str"/>
      <x:c r="I21" s="60" t="str">
        <x:v>标准规范组</x:v>
      </x:c>
      <x:c r="J21" s="60" t="str">
        <x:v>工作流负责人</x:v>
      </x:c>
      <x:c r="K21" s="60" t="str">
        <x:v>相关业务科室/厂商</x:v>
      </x:c>
      <x:c r="L21" s="60" t="str">
        <x:v>经评审的建立冲突仲裁发布订阅回退交付物</x:v>
      </x:c>
      <x:c r="M21" s="60" t="str">
        <x:v>内容完整、可执行、与总体模型和标准一致</x:v>
      </x:c>
      <x:c r="N21" s="60" t="str">
        <x:v>未开始</x:v>
      </x:c>
      <x:c r="O21" s="85" t="n">
        <x:v>0</x:v>
      </x:c>
      <x:c r="P21" s="60" t="str">
        <x:v>P0</x:v>
      </x:c>
      <x:c r="Q21" s="60" t="str"/>
      <x:c r="R21" s="64" t="n">
        <x:f>IF(OR(N21="已完成",N21="不适用"),0,MAX(0,TODAY()-F21))</x:f>
        <x:v>0</x:v>
      </x:c>
    </x:row>
    <x:row r="22">
      <x:c r="A22" s="63" t="str">
        <x:v>P1.2.6.2</x:v>
      </x:c>
      <x:c r="B22" s="60" t="str">
        <x:v>P1</x:v>
      </x:c>
      <x:c r="C22" s="60" t="str">
        <x:v>标准与术语</x:v>
      </x:c>
      <x:c r="D22" s="60" t="str">
        <x:v>建立冲突仲裁发布订阅回退：完成评审并纳入版本基线</x:v>
      </x:c>
      <x:c r="E22" s="81" t="n">
        <x:v>46323</x:v>
      </x:c>
      <x:c r="F22" s="81" t="n">
        <x:v>46325</x:v>
      </x:c>
      <x:c r="G22" s="60" t="n">
        <x:v>3</x:v>
      </x:c>
      <x:c r="H22" s="60" t="str"/>
      <x:c r="I22" s="60" t="str">
        <x:v>标准规范组</x:v>
      </x:c>
      <x:c r="J22" s="60" t="str">
        <x:v>工作流负责人</x:v>
      </x:c>
      <x:c r="K22" s="60" t="str">
        <x:v>相关业务科室/厂商</x:v>
      </x:c>
      <x:c r="L22" s="60" t="str">
        <x:v>评审纪要、问题清单和版本基线</x:v>
      </x:c>
      <x:c r="M22" s="60" t="str">
        <x:v>业务、技术、测试共同签字，证据可追溯</x:v>
      </x:c>
      <x:c r="N22" s="60" t="str">
        <x:v>未开始</x:v>
      </x:c>
      <x:c r="O22" s="85" t="n">
        <x:v>0</x:v>
      </x:c>
      <x:c r="P22" s="60" t="str">
        <x:v>P0</x:v>
      </x:c>
      <x:c r="Q22" s="60" t="str"/>
      <x:c r="R22" s="64" t="n">
        <x:f>IF(OR(N22="已完成",N22="不适用"),0,MAX(0,TODAY()-F22))</x:f>
        <x:v>0</x:v>
      </x:c>
    </x:row>
    <x:row r="23">
      <x:c r="A23" s="63" t="str">
        <x:v>P1.2.7.1</x:v>
      </x:c>
      <x:c r="B23" s="60" t="str">
        <x:v>P1</x:v>
      </x:c>
      <x:c r="C23" s="60" t="str">
        <x:v>标准与术语</x:v>
      </x:c>
      <x:c r="D23" s="60" t="str">
        <x:v>上线术语查询翻译批量下载</x:v>
      </x:c>
      <x:c r="E23" s="81" t="n">
        <x:v>46326</x:v>
      </x:c>
      <x:c r="F23" s="81" t="n">
        <x:v>46330</x:v>
      </x:c>
      <x:c r="G23" s="60" t="n">
        <x:v>5</x:v>
      </x:c>
      <x:c r="H23" s="60" t="str"/>
      <x:c r="I23" s="60" t="str">
        <x:v>标准规范组</x:v>
      </x:c>
      <x:c r="J23" s="60" t="str">
        <x:v>工作流负责人</x:v>
      </x:c>
      <x:c r="K23" s="60" t="str">
        <x:v>相关业务科室/厂商</x:v>
      </x:c>
      <x:c r="L23" s="60" t="str">
        <x:v>经评审的上线术语查询翻译批量下载交付物</x:v>
      </x:c>
      <x:c r="M23" s="60" t="str">
        <x:v>内容完整、可执行、与总体模型和标准一致</x:v>
      </x:c>
      <x:c r="N23" s="60" t="str">
        <x:v>未开始</x:v>
      </x:c>
      <x:c r="O23" s="85" t="n">
        <x:v>0</x:v>
      </x:c>
      <x:c r="P23" s="60" t="str">
        <x:v>P0</x:v>
      </x:c>
      <x:c r="Q23" s="60" t="str"/>
      <x:c r="R23" s="64" t="n">
        <x:f>IF(OR(N23="已完成",N23="不适用"),0,MAX(0,TODAY()-F23))</x:f>
        <x:v>0</x:v>
      </x:c>
    </x:row>
    <x:row r="24">
      <x:c r="A24" s="63" t="str">
        <x:v>P1.2.7.2</x:v>
      </x:c>
      <x:c r="B24" s="60" t="str">
        <x:v>P1</x:v>
      </x:c>
      <x:c r="C24" s="60" t="str">
        <x:v>标准与术语</x:v>
      </x:c>
      <x:c r="D24" s="60" t="str">
        <x:v>上线术语查询翻译批量下载：完成评审并纳入版本基线</x:v>
      </x:c>
      <x:c r="E24" s="81" t="n">
        <x:v>46330</x:v>
      </x:c>
      <x:c r="F24" s="81" t="n">
        <x:v>46332</x:v>
      </x:c>
      <x:c r="G24" s="60" t="n">
        <x:v>3</x:v>
      </x:c>
      <x:c r="H24" s="60" t="str"/>
      <x:c r="I24" s="60" t="str">
        <x:v>标准规范组</x:v>
      </x:c>
      <x:c r="J24" s="60" t="str">
        <x:v>工作流负责人</x:v>
      </x:c>
      <x:c r="K24" s="60" t="str">
        <x:v>相关业务科室/厂商</x:v>
      </x:c>
      <x:c r="L24" s="60" t="str">
        <x:v>评审纪要、问题清单和版本基线</x:v>
      </x:c>
      <x:c r="M24" s="60" t="str">
        <x:v>业务、技术、测试共同签字，证据可追溯</x:v>
      </x:c>
      <x:c r="N24" s="60" t="str">
        <x:v>未开始</x:v>
      </x:c>
      <x:c r="O24" s="85" t="n">
        <x:v>0</x:v>
      </x:c>
      <x:c r="P24" s="60" t="str">
        <x:v>P0</x:v>
      </x:c>
      <x:c r="Q24" s="60" t="str"/>
      <x:c r="R24" s="64" t="n">
        <x:f>IF(OR(N24="已完成",N24="不适用"),0,MAX(0,TODAY()-F24))</x:f>
        <x:v>0</x:v>
      </x:c>
    </x:row>
    <x:row r="25">
      <x:c r="A25" s="63" t="str">
        <x:v>P1.2.8.1</x:v>
      </x:c>
      <x:c r="B25" s="60" t="str">
        <x:v>P1</x:v>
      </x:c>
      <x:c r="C25" s="60" t="str">
        <x:v>标准与术语</x:v>
      </x:c>
      <x:c r="D25" s="60" t="str">
        <x:v>开展标准符合性持续监测</x:v>
      </x:c>
      <x:c r="E25" s="81" t="n">
        <x:v>46333</x:v>
      </x:c>
      <x:c r="F25" s="81" t="n">
        <x:v>46337</x:v>
      </x:c>
      <x:c r="G25" s="60" t="n">
        <x:v>5</x:v>
      </x:c>
      <x:c r="H25" s="60" t="str"/>
      <x:c r="I25" s="60" t="str">
        <x:v>标准规范组</x:v>
      </x:c>
      <x:c r="J25" s="60" t="str">
        <x:v>工作流负责人</x:v>
      </x:c>
      <x:c r="K25" s="60" t="str">
        <x:v>相关业务科室/厂商</x:v>
      </x:c>
      <x:c r="L25" s="60" t="str">
        <x:v>经评审的开展标准符合性持续监测交付物</x:v>
      </x:c>
      <x:c r="M25" s="60" t="str">
        <x:v>内容完整、可执行、与总体模型和标准一致</x:v>
      </x:c>
      <x:c r="N25" s="60" t="str">
        <x:v>未开始</x:v>
      </x:c>
      <x:c r="O25" s="85" t="n">
        <x:v>0</x:v>
      </x:c>
      <x:c r="P25" s="60" t="str">
        <x:v>P0</x:v>
      </x:c>
      <x:c r="Q25" s="60" t="str"/>
      <x:c r="R25" s="64" t="n">
        <x:f>IF(OR(N25="已完成",N25="不适用"),0,MAX(0,TODAY()-F25))</x:f>
        <x:v>0</x:v>
      </x:c>
    </x:row>
    <x:row r="26">
      <x:c r="A26" s="63" t="str">
        <x:v>P1.2.8.2</x:v>
      </x:c>
      <x:c r="B26" s="60" t="str">
        <x:v>P1</x:v>
      </x:c>
      <x:c r="C26" s="60" t="str">
        <x:v>标准与术语</x:v>
      </x:c>
      <x:c r="D26" s="60" t="str">
        <x:v>开展标准符合性持续监测：完成评审并纳入版本基线</x:v>
      </x:c>
      <x:c r="E26" s="81" t="n">
        <x:v>46337</x:v>
      </x:c>
      <x:c r="F26" s="81" t="n">
        <x:v>46339</x:v>
      </x:c>
      <x:c r="G26" s="60" t="n">
        <x:v>3</x:v>
      </x:c>
      <x:c r="H26" s="60" t="str"/>
      <x:c r="I26" s="60" t="str">
        <x:v>标准规范组</x:v>
      </x:c>
      <x:c r="J26" s="60" t="str">
        <x:v>工作流负责人</x:v>
      </x:c>
      <x:c r="K26" s="60" t="str">
        <x:v>相关业务科室/厂商</x:v>
      </x:c>
      <x:c r="L26" s="60" t="str">
        <x:v>评审纪要、问题清单和版本基线</x:v>
      </x:c>
      <x:c r="M26" s="60" t="str">
        <x:v>业务、技术、测试共同签字，证据可追溯</x:v>
      </x:c>
      <x:c r="N26" s="60" t="str">
        <x:v>未开始</x:v>
      </x:c>
      <x:c r="O26" s="85" t="n">
        <x:v>0</x:v>
      </x:c>
      <x:c r="P26" s="60" t="str">
        <x:v>P0</x:v>
      </x:c>
      <x:c r="Q26" s="60" t="str"/>
      <x:c r="R26" s="64" t="n">
        <x:f>IF(OR(N26="已完成",N26="不适用"),0,MAX(0,TODAY()-F26))</x:f>
        <x:v>0</x:v>
      </x:c>
    </x:row>
    <x:row r="27">
      <x:c r="A27" s="63" t="str">
        <x:v>P1.3.1.1</x:v>
      </x:c>
      <x:c r="B27" s="60" t="str">
        <x:v>P1</x:v>
      </x:c>
      <x:c r="C27" s="60" t="str">
        <x:v>MDM</x:v>
      </x:c>
      <x:c r="D27" s="60" t="str">
        <x:v>梳理患者组织科室病区人员角色床位药品项目耗材主权源</x:v>
      </x:c>
      <x:c r="E27" s="81" t="n">
        <x:v>46284</x:v>
      </x:c>
      <x:c r="F27" s="81" t="n">
        <x:v>46288</x:v>
      </x:c>
      <x:c r="G27" s="60" t="n">
        <x:v>5</x:v>
      </x:c>
      <x:c r="H27" s="60" t="str"/>
      <x:c r="I27" s="60" t="str">
        <x:v>MDM组</x:v>
      </x:c>
      <x:c r="J27" s="60" t="str">
        <x:v>工作流负责人</x:v>
      </x:c>
      <x:c r="K27" s="60" t="str">
        <x:v>相关业务科室/厂商</x:v>
      </x:c>
      <x:c r="L27" s="60" t="str">
        <x:v>经评审的梳理患者组织科室病区人员角色床位药品项目耗材主权源交付物</x:v>
      </x:c>
      <x:c r="M27" s="60" t="str">
        <x:v>内容完整、可执行、与总体模型和标准一致</x:v>
      </x:c>
      <x:c r="N27" s="60" t="str">
        <x:v>未开始</x:v>
      </x:c>
      <x:c r="O27" s="85" t="n">
        <x:v>0</x:v>
      </x:c>
      <x:c r="P27" s="60" t="str">
        <x:v>P0</x:v>
      </x:c>
      <x:c r="Q27" s="60" t="str"/>
      <x:c r="R27" s="64" t="n">
        <x:f>IF(OR(N27="已完成",N27="不适用"),0,MAX(0,TODAY()-F27))</x:f>
        <x:v>0</x:v>
      </x:c>
    </x:row>
    <x:row r="28">
      <x:c r="A28" s="63" t="str">
        <x:v>P1.3.1.2</x:v>
      </x:c>
      <x:c r="B28" s="60" t="str">
        <x:v>P1</x:v>
      </x:c>
      <x:c r="C28" s="60" t="str">
        <x:v>MDM</x:v>
      </x:c>
      <x:c r="D28" s="60" t="str">
        <x:v>梳理患者组织科室病区人员角色床位药品项目耗材主权源：完成评审并纳入版本基线</x:v>
      </x:c>
      <x:c r="E28" s="81" t="n">
        <x:v>46288</x:v>
      </x:c>
      <x:c r="F28" s="81" t="n">
        <x:v>46290</x:v>
      </x:c>
      <x:c r="G28" s="60" t="n">
        <x:v>3</x:v>
      </x:c>
      <x:c r="H28" s="60" t="str"/>
      <x:c r="I28" s="60" t="str">
        <x:v>MDM组</x:v>
      </x:c>
      <x:c r="J28" s="60" t="str">
        <x:v>工作流负责人</x:v>
      </x:c>
      <x:c r="K28" s="60" t="str">
        <x:v>相关业务科室/厂商</x:v>
      </x:c>
      <x:c r="L28" s="60" t="str">
        <x:v>评审纪要、问题清单和版本基线</x:v>
      </x:c>
      <x:c r="M28" s="60" t="str">
        <x:v>业务、技术、测试共同签字，证据可追溯</x:v>
      </x:c>
      <x:c r="N28" s="60" t="str">
        <x:v>未开始</x:v>
      </x:c>
      <x:c r="O28" s="85" t="n">
        <x:v>0</x:v>
      </x:c>
      <x:c r="P28" s="60" t="str">
        <x:v>P0</x:v>
      </x:c>
      <x:c r="Q28" s="60" t="str"/>
      <x:c r="R28" s="64" t="n">
        <x:f>IF(OR(N28="已完成",N28="不适用"),0,MAX(0,TODAY()-F28))</x:f>
        <x:v>0</x:v>
      </x:c>
    </x:row>
    <x:row r="29">
      <x:c r="A29" s="63" t="str">
        <x:v>P1.3.2.1</x:v>
      </x:c>
      <x:c r="B29" s="60" t="str">
        <x:v>P1</x:v>
      </x:c>
      <x:c r="C29" s="60" t="str">
        <x:v>MDM</x:v>
      </x:c>
      <x:c r="D29" s="60" t="str">
        <x:v>设计企业主键自然键交叉键</x:v>
      </x:c>
      <x:c r="E29" s="81" t="n">
        <x:v>46291</x:v>
      </x:c>
      <x:c r="F29" s="81" t="n">
        <x:v>46295</x:v>
      </x:c>
      <x:c r="G29" s="60" t="n">
        <x:v>5</x:v>
      </x:c>
      <x:c r="H29" s="60" t="str"/>
      <x:c r="I29" s="60" t="str">
        <x:v>MDM组</x:v>
      </x:c>
      <x:c r="J29" s="60" t="str">
        <x:v>工作流负责人</x:v>
      </x:c>
      <x:c r="K29" s="60" t="str">
        <x:v>相关业务科室/厂商</x:v>
      </x:c>
      <x:c r="L29" s="60" t="str">
        <x:v>经评审的设计企业主键自然键交叉键交付物</x:v>
      </x:c>
      <x:c r="M29" s="60" t="str">
        <x:v>内容完整、可执行、与总体模型和标准一致</x:v>
      </x:c>
      <x:c r="N29" s="60" t="str">
        <x:v>未开始</x:v>
      </x:c>
      <x:c r="O29" s="85" t="n">
        <x:v>0</x:v>
      </x:c>
      <x:c r="P29" s="60" t="str">
        <x:v>P0</x:v>
      </x:c>
      <x:c r="Q29" s="60" t="str"/>
      <x:c r="R29" s="64" t="n">
        <x:f>IF(OR(N29="已完成",N29="不适用"),0,MAX(0,TODAY()-F29))</x:f>
        <x:v>0</x:v>
      </x:c>
    </x:row>
    <x:row r="30">
      <x:c r="A30" s="63" t="str">
        <x:v>P1.3.2.2</x:v>
      </x:c>
      <x:c r="B30" s="60" t="str">
        <x:v>P1</x:v>
      </x:c>
      <x:c r="C30" s="60" t="str">
        <x:v>MDM</x:v>
      </x:c>
      <x:c r="D30" s="60" t="str">
        <x:v>设计企业主键自然键交叉键：完成评审并纳入版本基线</x:v>
      </x:c>
      <x:c r="E30" s="81" t="n">
        <x:v>46295</x:v>
      </x:c>
      <x:c r="F30" s="81" t="n">
        <x:v>46297</x:v>
      </x:c>
      <x:c r="G30" s="60" t="n">
        <x:v>3</x:v>
      </x:c>
      <x:c r="H30" s="60" t="str"/>
      <x:c r="I30" s="60" t="str">
        <x:v>MDM组</x:v>
      </x:c>
      <x:c r="J30" s="60" t="str">
        <x:v>工作流负责人</x:v>
      </x:c>
      <x:c r="K30" s="60" t="str">
        <x:v>相关业务科室/厂商</x:v>
      </x:c>
      <x:c r="L30" s="60" t="str">
        <x:v>评审纪要、问题清单和版本基线</x:v>
      </x:c>
      <x:c r="M30" s="60" t="str">
        <x:v>业务、技术、测试共同签字，证据可追溯</x:v>
      </x:c>
      <x:c r="N30" s="60" t="str">
        <x:v>未开始</x:v>
      </x:c>
      <x:c r="O30" s="85" t="n">
        <x:v>0</x:v>
      </x:c>
      <x:c r="P30" s="60" t="str">
        <x:v>P0</x:v>
      </x:c>
      <x:c r="Q30" s="60" t="str"/>
      <x:c r="R30" s="64" t="n">
        <x:f>IF(OR(N30="已完成",N30="不适用"),0,MAX(0,TODAY()-F30))</x:f>
        <x:v>0</x:v>
      </x:c>
    </x:row>
    <x:row r="31">
      <x:c r="A31" s="63" t="str">
        <x:v>P1.3.3.1</x:v>
      </x:c>
      <x:c r="B31" s="60" t="str">
        <x:v>P1</x:v>
      </x:c>
      <x:c r="C31" s="60" t="str">
        <x:v>MDM</x:v>
      </x:c>
      <x:c r="D31" s="60" t="str">
        <x:v>历史数据剖析和重复冲突分析</x:v>
      </x:c>
      <x:c r="E31" s="81" t="n">
        <x:v>46298</x:v>
      </x:c>
      <x:c r="F31" s="81" t="n">
        <x:v>46302</x:v>
      </x:c>
      <x:c r="G31" s="60" t="n">
        <x:v>5</x:v>
      </x:c>
      <x:c r="H31" s="60" t="str"/>
      <x:c r="I31" s="60" t="str">
        <x:v>MDM组</x:v>
      </x:c>
      <x:c r="J31" s="60" t="str">
        <x:v>工作流负责人</x:v>
      </x:c>
      <x:c r="K31" s="60" t="str">
        <x:v>相关业务科室/厂商</x:v>
      </x:c>
      <x:c r="L31" s="60" t="str">
        <x:v>经评审的历史数据剖析和重复冲突分析交付物</x:v>
      </x:c>
      <x:c r="M31" s="60" t="str">
        <x:v>内容完整、可执行、与总体模型和标准一致</x:v>
      </x:c>
      <x:c r="N31" s="60" t="str">
        <x:v>未开始</x:v>
      </x:c>
      <x:c r="O31" s="85" t="n">
        <x:v>0</x:v>
      </x:c>
      <x:c r="P31" s="60" t="str">
        <x:v>P0</x:v>
      </x:c>
      <x:c r="Q31" s="60" t="str"/>
      <x:c r="R31" s="64" t="n">
        <x:f>IF(OR(N31="已完成",N31="不适用"),0,MAX(0,TODAY()-F31))</x:f>
        <x:v>0</x:v>
      </x:c>
    </x:row>
    <x:row r="32">
      <x:c r="A32" s="63" t="str">
        <x:v>P1.3.3.2</x:v>
      </x:c>
      <x:c r="B32" s="60" t="str">
        <x:v>P1</x:v>
      </x:c>
      <x:c r="C32" s="60" t="str">
        <x:v>MDM</x:v>
      </x:c>
      <x:c r="D32" s="60" t="str">
        <x:v>历史数据剖析和重复冲突分析：完成评审并纳入版本基线</x:v>
      </x:c>
      <x:c r="E32" s="81" t="n">
        <x:v>46302</x:v>
      </x:c>
      <x:c r="F32" s="81" t="n">
        <x:v>46304</x:v>
      </x:c>
      <x:c r="G32" s="60" t="n">
        <x:v>3</x:v>
      </x:c>
      <x:c r="H32" s="60" t="str"/>
      <x:c r="I32" s="60" t="str">
        <x:v>MDM组</x:v>
      </x:c>
      <x:c r="J32" s="60" t="str">
        <x:v>工作流负责人</x:v>
      </x:c>
      <x:c r="K32" s="60" t="str">
        <x:v>相关业务科室/厂商</x:v>
      </x:c>
      <x:c r="L32" s="60" t="str">
        <x:v>评审纪要、问题清单和版本基线</x:v>
      </x:c>
      <x:c r="M32" s="60" t="str">
        <x:v>业务、技术、测试共同签字，证据可追溯</x:v>
      </x:c>
      <x:c r="N32" s="60" t="str">
        <x:v>未开始</x:v>
      </x:c>
      <x:c r="O32" s="85" t="n">
        <x:v>0</x:v>
      </x:c>
      <x:c r="P32" s="60" t="str">
        <x:v>P0</x:v>
      </x:c>
      <x:c r="Q32" s="60" t="str"/>
      <x:c r="R32" s="64" t="n">
        <x:f>IF(OR(N32="已完成",N32="不适用"),0,MAX(0,TODAY()-F32))</x:f>
        <x:v>0</x:v>
      </x:c>
    </x:row>
    <x:row r="33">
      <x:c r="A33" s="63" t="str">
        <x:v>P1.3.4.1</x:v>
      </x:c>
      <x:c r="B33" s="60" t="str">
        <x:v>P1</x:v>
      </x:c>
      <x:c r="C33" s="60" t="str">
        <x:v>MDM</x:v>
      </x:c>
      <x:c r="D33" s="60" t="str">
        <x:v>配置确定性概率匹配和人工阈值</x:v>
      </x:c>
      <x:c r="E33" s="81" t="n">
        <x:v>46305</x:v>
      </x:c>
      <x:c r="F33" s="81" t="n">
        <x:v>46309</x:v>
      </x:c>
      <x:c r="G33" s="60" t="n">
        <x:v>5</x:v>
      </x:c>
      <x:c r="H33" s="60" t="str"/>
      <x:c r="I33" s="60" t="str">
        <x:v>MDM组</x:v>
      </x:c>
      <x:c r="J33" s="60" t="str">
        <x:v>工作流负责人</x:v>
      </x:c>
      <x:c r="K33" s="60" t="str">
        <x:v>相关业务科室/厂商</x:v>
      </x:c>
      <x:c r="L33" s="60" t="str">
        <x:v>经评审的配置确定性概率匹配和人工阈值交付物</x:v>
      </x:c>
      <x:c r="M33" s="60" t="str">
        <x:v>内容完整、可执行、与总体模型和标准一致</x:v>
      </x:c>
      <x:c r="N33" s="60" t="str">
        <x:v>未开始</x:v>
      </x:c>
      <x:c r="O33" s="85" t="n">
        <x:v>0</x:v>
      </x:c>
      <x:c r="P33" s="60" t="str">
        <x:v>P0</x:v>
      </x:c>
      <x:c r="Q33" s="60" t="str"/>
      <x:c r="R33" s="64" t="n">
        <x:f>IF(OR(N33="已完成",N33="不适用"),0,MAX(0,TODAY()-F33))</x:f>
        <x:v>0</x:v>
      </x:c>
    </x:row>
    <x:row r="34">
      <x:c r="A34" s="63" t="str">
        <x:v>P1.3.4.2</x:v>
      </x:c>
      <x:c r="B34" s="60" t="str">
        <x:v>P1</x:v>
      </x:c>
      <x:c r="C34" s="60" t="str">
        <x:v>MDM</x:v>
      </x:c>
      <x:c r="D34" s="60" t="str">
        <x:v>配置确定性概率匹配和人工阈值：完成评审并纳入版本基线</x:v>
      </x:c>
      <x:c r="E34" s="81" t="n">
        <x:v>46309</x:v>
      </x:c>
      <x:c r="F34" s="81" t="n">
        <x:v>46311</x:v>
      </x:c>
      <x:c r="G34" s="60" t="n">
        <x:v>3</x:v>
      </x:c>
      <x:c r="H34" s="60" t="str"/>
      <x:c r="I34" s="60" t="str">
        <x:v>MDM组</x:v>
      </x:c>
      <x:c r="J34" s="60" t="str">
        <x:v>工作流负责人</x:v>
      </x:c>
      <x:c r="K34" s="60" t="str">
        <x:v>相关业务科室/厂商</x:v>
      </x:c>
      <x:c r="L34" s="60" t="str">
        <x:v>评审纪要、问题清单和版本基线</x:v>
      </x:c>
      <x:c r="M34" s="60" t="str">
        <x:v>业务、技术、测试共同签字，证据可追溯</x:v>
      </x:c>
      <x:c r="N34" s="60" t="str">
        <x:v>未开始</x:v>
      </x:c>
      <x:c r="O34" s="85" t="n">
        <x:v>0</x:v>
      </x:c>
      <x:c r="P34" s="60" t="str">
        <x:v>P0</x:v>
      </x:c>
      <x:c r="Q34" s="60" t="str"/>
      <x:c r="R34" s="64" t="n">
        <x:f>IF(OR(N34="已完成",N34="不适用"),0,MAX(0,TODAY()-F34))</x:f>
        <x:v>0</x:v>
      </x:c>
    </x:row>
    <x:row r="35">
      <x:c r="A35" s="63" t="str">
        <x:v>P1.3.5.1</x:v>
      </x:c>
      <x:c r="B35" s="60" t="str">
        <x:v>P1</x:v>
      </x:c>
      <x:c r="C35" s="60" t="str">
        <x:v>MDM</x:v>
      </x:c>
      <x:c r="D35" s="60" t="str">
        <x:v>建立字段级生存规则和黄金记录</x:v>
      </x:c>
      <x:c r="E35" s="81" t="n">
        <x:v>46312</x:v>
      </x:c>
      <x:c r="F35" s="81" t="n">
        <x:v>46316</x:v>
      </x:c>
      <x:c r="G35" s="60" t="n">
        <x:v>5</x:v>
      </x:c>
      <x:c r="H35" s="60" t="str"/>
      <x:c r="I35" s="60" t="str">
        <x:v>MDM组</x:v>
      </x:c>
      <x:c r="J35" s="60" t="str">
        <x:v>工作流负责人</x:v>
      </x:c>
      <x:c r="K35" s="60" t="str">
        <x:v>相关业务科室/厂商</x:v>
      </x:c>
      <x:c r="L35" s="60" t="str">
        <x:v>经评审的建立字段级生存规则和黄金记录交付物</x:v>
      </x:c>
      <x:c r="M35" s="60" t="str">
        <x:v>内容完整、可执行、与总体模型和标准一致</x:v>
      </x:c>
      <x:c r="N35" s="60" t="str">
        <x:v>未开始</x:v>
      </x:c>
      <x:c r="O35" s="85" t="n">
        <x:v>0</x:v>
      </x:c>
      <x:c r="P35" s="60" t="str">
        <x:v>P0</x:v>
      </x:c>
      <x:c r="Q35" s="60" t="str"/>
      <x:c r="R35" s="64" t="n">
        <x:f>IF(OR(N35="已完成",N35="不适用"),0,MAX(0,TODAY()-F35))</x:f>
        <x:v>0</x:v>
      </x:c>
    </x:row>
    <x:row r="36">
      <x:c r="A36" s="63" t="str">
        <x:v>P1.3.5.2</x:v>
      </x:c>
      <x:c r="B36" s="60" t="str">
        <x:v>P1</x:v>
      </x:c>
      <x:c r="C36" s="60" t="str">
        <x:v>MDM</x:v>
      </x:c>
      <x:c r="D36" s="60" t="str">
        <x:v>建立字段级生存规则和黄金记录：完成评审并纳入版本基线</x:v>
      </x:c>
      <x:c r="E36" s="81" t="n">
        <x:v>46316</x:v>
      </x:c>
      <x:c r="F36" s="81" t="n">
        <x:v>46318</x:v>
      </x:c>
      <x:c r="G36" s="60" t="n">
        <x:v>3</x:v>
      </x:c>
      <x:c r="H36" s="60" t="str"/>
      <x:c r="I36" s="60" t="str">
        <x:v>MDM组</x:v>
      </x:c>
      <x:c r="J36" s="60" t="str">
        <x:v>工作流负责人</x:v>
      </x:c>
      <x:c r="K36" s="60" t="str">
        <x:v>相关业务科室/厂商</x:v>
      </x:c>
      <x:c r="L36" s="60" t="str">
        <x:v>评审纪要、问题清单和版本基线</x:v>
      </x:c>
      <x:c r="M36" s="60" t="str">
        <x:v>业务、技术、测试共同签字，证据可追溯</x:v>
      </x:c>
      <x:c r="N36" s="60" t="str">
        <x:v>未开始</x:v>
      </x:c>
      <x:c r="O36" s="85" t="n">
        <x:v>0</x:v>
      </x:c>
      <x:c r="P36" s="60" t="str">
        <x:v>P0</x:v>
      </x:c>
      <x:c r="Q36" s="60" t="str"/>
      <x:c r="R36" s="64" t="n">
        <x:f>IF(OR(N36="已完成",N36="不适用"),0,MAX(0,TODAY()-F36))</x:f>
        <x:v>0</x:v>
      </x:c>
    </x:row>
    <x:row r="37">
      <x:c r="A37" s="63" t="str">
        <x:v>P1.3.6.1</x:v>
      </x:c>
      <x:c r="B37" s="60" t="str">
        <x:v>P1</x:v>
      </x:c>
      <x:c r="C37" s="60" t="str">
        <x:v>MDM</x:v>
      </x:c>
      <x:c r="D37" s="60" t="str">
        <x:v>建设患者合并拆分回滚和补偿</x:v>
      </x:c>
      <x:c r="E37" s="81" t="n">
        <x:v>46319</x:v>
      </x:c>
      <x:c r="F37" s="81" t="n">
        <x:v>46323</x:v>
      </x:c>
      <x:c r="G37" s="60" t="n">
        <x:v>5</x:v>
      </x:c>
      <x:c r="H37" s="60" t="str"/>
      <x:c r="I37" s="60" t="str">
        <x:v>MDM组</x:v>
      </x:c>
      <x:c r="J37" s="60" t="str">
        <x:v>工作流负责人</x:v>
      </x:c>
      <x:c r="K37" s="60" t="str">
        <x:v>相关业务科室/厂商</x:v>
      </x:c>
      <x:c r="L37" s="60" t="str">
        <x:v>经评审的建设患者合并拆分回滚和补偿交付物</x:v>
      </x:c>
      <x:c r="M37" s="60" t="str">
        <x:v>内容完整、可执行、与总体模型和标准一致</x:v>
      </x:c>
      <x:c r="N37" s="60" t="str">
        <x:v>未开始</x:v>
      </x:c>
      <x:c r="O37" s="85" t="n">
        <x:v>0</x:v>
      </x:c>
      <x:c r="P37" s="60" t="str">
        <x:v>P0</x:v>
      </x:c>
      <x:c r="Q37" s="60" t="str"/>
      <x:c r="R37" s="64" t="n">
        <x:f>IF(OR(N37="已完成",N37="不适用"),0,MAX(0,TODAY()-F37))</x:f>
        <x:v>0</x:v>
      </x:c>
    </x:row>
    <x:row r="38">
      <x:c r="A38" s="63" t="str">
        <x:v>P1.3.6.2</x:v>
      </x:c>
      <x:c r="B38" s="60" t="str">
        <x:v>P1</x:v>
      </x:c>
      <x:c r="C38" s="60" t="str">
        <x:v>MDM</x:v>
      </x:c>
      <x:c r="D38" s="60" t="str">
        <x:v>建设患者合并拆分回滚和补偿：完成评审并纳入版本基线</x:v>
      </x:c>
      <x:c r="E38" s="81" t="n">
        <x:v>46323</x:v>
      </x:c>
      <x:c r="F38" s="81" t="n">
        <x:v>46325</x:v>
      </x:c>
      <x:c r="G38" s="60" t="n">
        <x:v>3</x:v>
      </x:c>
      <x:c r="H38" s="60" t="str"/>
      <x:c r="I38" s="60" t="str">
        <x:v>MDM组</x:v>
      </x:c>
      <x:c r="J38" s="60" t="str">
        <x:v>工作流负责人</x:v>
      </x:c>
      <x:c r="K38" s="60" t="str">
        <x:v>相关业务科室/厂商</x:v>
      </x:c>
      <x:c r="L38" s="60" t="str">
        <x:v>评审纪要、问题清单和版本基线</x:v>
      </x:c>
      <x:c r="M38" s="60" t="str">
        <x:v>业务、技术、测试共同签字，证据可追溯</x:v>
      </x:c>
      <x:c r="N38" s="60" t="str">
        <x:v>未开始</x:v>
      </x:c>
      <x:c r="O38" s="85" t="n">
        <x:v>0</x:v>
      </x:c>
      <x:c r="P38" s="60" t="str">
        <x:v>P0</x:v>
      </x:c>
      <x:c r="Q38" s="60" t="str"/>
      <x:c r="R38" s="64" t="n">
        <x:f>IF(OR(N38="已完成",N38="不适用"),0,MAX(0,TODAY()-F38))</x:f>
        <x:v>0</x:v>
      </x:c>
    </x:row>
    <x:row r="39">
      <x:c r="A39" s="63" t="str">
        <x:v>P1.3.7.1</x:v>
      </x:c>
      <x:c r="B39" s="60" t="str">
        <x:v>P1</x:v>
      </x:c>
      <x:c r="C39" s="60" t="str">
        <x:v>MDM</x:v>
      </x:c>
      <x:c r="D39" s="60" t="str">
        <x:v>建设组织人员资源有效期工作流</x:v>
      </x:c>
      <x:c r="E39" s="81" t="n">
        <x:v>46326</x:v>
      </x:c>
      <x:c r="F39" s="81" t="n">
        <x:v>46330</x:v>
      </x:c>
      <x:c r="G39" s="60" t="n">
        <x:v>5</x:v>
      </x:c>
      <x:c r="H39" s="60" t="str"/>
      <x:c r="I39" s="60" t="str">
        <x:v>MDM组</x:v>
      </x:c>
      <x:c r="J39" s="60" t="str">
        <x:v>工作流负责人</x:v>
      </x:c>
      <x:c r="K39" s="60" t="str">
        <x:v>相关业务科室/厂商</x:v>
      </x:c>
      <x:c r="L39" s="60" t="str">
        <x:v>经评审的建设组织人员资源有效期工作流交付物</x:v>
      </x:c>
      <x:c r="M39" s="60" t="str">
        <x:v>内容完整、可执行、与总体模型和标准一致</x:v>
      </x:c>
      <x:c r="N39" s="60" t="str">
        <x:v>未开始</x:v>
      </x:c>
      <x:c r="O39" s="85" t="n">
        <x:v>0</x:v>
      </x:c>
      <x:c r="P39" s="60" t="str">
        <x:v>P0</x:v>
      </x:c>
      <x:c r="Q39" s="60" t="str"/>
      <x:c r="R39" s="64" t="n">
        <x:f>IF(OR(N39="已完成",N39="不适用"),0,MAX(0,TODAY()-F39))</x:f>
        <x:v>0</x:v>
      </x:c>
    </x:row>
    <x:row r="40">
      <x:c r="A40" s="63" t="str">
        <x:v>P1.3.7.2</x:v>
      </x:c>
      <x:c r="B40" s="60" t="str">
        <x:v>P1</x:v>
      </x:c>
      <x:c r="C40" s="60" t="str">
        <x:v>MDM</x:v>
      </x:c>
      <x:c r="D40" s="60" t="str">
        <x:v>建设组织人员资源有效期工作流：完成评审并纳入版本基线</x:v>
      </x:c>
      <x:c r="E40" s="81" t="n">
        <x:v>46330</x:v>
      </x:c>
      <x:c r="F40" s="81" t="n">
        <x:v>46332</x:v>
      </x:c>
      <x:c r="G40" s="60" t="n">
        <x:v>3</x:v>
      </x:c>
      <x:c r="H40" s="60" t="str"/>
      <x:c r="I40" s="60" t="str">
        <x:v>MDM组</x:v>
      </x:c>
      <x:c r="J40" s="60" t="str">
        <x:v>工作流负责人</x:v>
      </x:c>
      <x:c r="K40" s="60" t="str">
        <x:v>相关业务科室/厂商</x:v>
      </x:c>
      <x:c r="L40" s="60" t="str">
        <x:v>评审纪要、问题清单和版本基线</x:v>
      </x:c>
      <x:c r="M40" s="60" t="str">
        <x:v>业务、技术、测试共同签字，证据可追溯</x:v>
      </x:c>
      <x:c r="N40" s="60" t="str">
        <x:v>未开始</x:v>
      </x:c>
      <x:c r="O40" s="85" t="n">
        <x:v>0</x:v>
      </x:c>
      <x:c r="P40" s="60" t="str">
        <x:v>P0</x:v>
      </x:c>
      <x:c r="Q40" s="60" t="str"/>
      <x:c r="R40" s="64" t="n">
        <x:f>IF(OR(N40="已完成",N40="不适用"),0,MAX(0,TODAY()-F40))</x:f>
        <x:v>0</x:v>
      </x:c>
    </x:row>
    <x:row r="41">
      <x:c r="A41" s="63" t="str">
        <x:v>P1.3.8.1</x:v>
      </x:c>
      <x:c r="B41" s="60" t="str">
        <x:v>P1</x:v>
      </x:c>
      <x:c r="C41" s="60" t="str">
        <x:v>MDM</x:v>
      </x:c>
      <x:c r="D41" s="60" t="str">
        <x:v>完成药品项目耗材停用替代</x:v>
      </x:c>
      <x:c r="E41" s="81" t="n">
        <x:v>46333</x:v>
      </x:c>
      <x:c r="F41" s="81" t="n">
        <x:v>46337</x:v>
      </x:c>
      <x:c r="G41" s="60" t="n">
        <x:v>5</x:v>
      </x:c>
      <x:c r="H41" s="60" t="str"/>
      <x:c r="I41" s="60" t="str">
        <x:v>MDM组</x:v>
      </x:c>
      <x:c r="J41" s="60" t="str">
        <x:v>工作流负责人</x:v>
      </x:c>
      <x:c r="K41" s="60" t="str">
        <x:v>相关业务科室/厂商</x:v>
      </x:c>
      <x:c r="L41" s="60" t="str">
        <x:v>经评审的完成药品项目耗材停用替代交付物</x:v>
      </x:c>
      <x:c r="M41" s="60" t="str">
        <x:v>内容完整、可执行、与总体模型和标准一致</x:v>
      </x:c>
      <x:c r="N41" s="60" t="str">
        <x:v>未开始</x:v>
      </x:c>
      <x:c r="O41" s="85" t="n">
        <x:v>0</x:v>
      </x:c>
      <x:c r="P41" s="60" t="str">
        <x:v>P0</x:v>
      </x:c>
      <x:c r="Q41" s="60" t="str"/>
      <x:c r="R41" s="64" t="n">
        <x:f>IF(OR(N41="已完成",N41="不适用"),0,MAX(0,TODAY()-F41))</x:f>
        <x:v>0</x:v>
      </x:c>
    </x:row>
    <x:row r="42">
      <x:c r="A42" s="63" t="str">
        <x:v>P1.3.8.2</x:v>
      </x:c>
      <x:c r="B42" s="60" t="str">
        <x:v>P1</x:v>
      </x:c>
      <x:c r="C42" s="60" t="str">
        <x:v>MDM</x:v>
      </x:c>
      <x:c r="D42" s="60" t="str">
        <x:v>完成药品项目耗材停用替代：完成评审并纳入版本基线</x:v>
      </x:c>
      <x:c r="E42" s="81" t="n">
        <x:v>46337</x:v>
      </x:c>
      <x:c r="F42" s="81" t="n">
        <x:v>46339</x:v>
      </x:c>
      <x:c r="G42" s="60" t="n">
        <x:v>3</x:v>
      </x:c>
      <x:c r="H42" s="60" t="str"/>
      <x:c r="I42" s="60" t="str">
        <x:v>MDM组</x:v>
      </x:c>
      <x:c r="J42" s="60" t="str">
        <x:v>工作流负责人</x:v>
      </x:c>
      <x:c r="K42" s="60" t="str">
        <x:v>相关业务科室/厂商</x:v>
      </x:c>
      <x:c r="L42" s="60" t="str">
        <x:v>评审纪要、问题清单和版本基线</x:v>
      </x:c>
      <x:c r="M42" s="60" t="str">
        <x:v>业务、技术、测试共同签字，证据可追溯</x:v>
      </x:c>
      <x:c r="N42" s="60" t="str">
        <x:v>未开始</x:v>
      </x:c>
      <x:c r="O42" s="85" t="n">
        <x:v>0</x:v>
      </x:c>
      <x:c r="P42" s="60" t="str">
        <x:v>P0</x:v>
      </x:c>
      <x:c r="Q42" s="60" t="str"/>
      <x:c r="R42" s="64" t="n">
        <x:f>IF(OR(N42="已完成",N42="不适用"),0,MAX(0,TODAY()-F42))</x:f>
        <x:v>0</x:v>
      </x:c>
    </x:row>
    <x:row r="43">
      <x:c r="A43" s="63" t="str">
        <x:v>P1.3.9.1</x:v>
      </x:c>
      <x:c r="B43" s="60" t="str">
        <x:v>P1</x:v>
      </x:c>
      <x:c r="C43" s="60" t="str">
        <x:v>MDM</x:v>
      </x:c>
      <x:c r="D43" s="60" t="str">
        <x:v>上线主数据API事件和快照</x:v>
      </x:c>
      <x:c r="E43" s="81" t="n">
        <x:v>46340</x:v>
      </x:c>
      <x:c r="F43" s="81" t="n">
        <x:v>46344</x:v>
      </x:c>
      <x:c r="G43" s="60" t="n">
        <x:v>5</x:v>
      </x:c>
      <x:c r="H43" s="60" t="str"/>
      <x:c r="I43" s="60" t="str">
        <x:v>MDM组</x:v>
      </x:c>
      <x:c r="J43" s="60" t="str">
        <x:v>工作流负责人</x:v>
      </x:c>
      <x:c r="K43" s="60" t="str">
        <x:v>相关业务科室/厂商</x:v>
      </x:c>
      <x:c r="L43" s="60" t="str">
        <x:v>经评审的上线主数据API事件和快照交付物</x:v>
      </x:c>
      <x:c r="M43" s="60" t="str">
        <x:v>内容完整、可执行、与总体模型和标准一致</x:v>
      </x:c>
      <x:c r="N43" s="60" t="str">
        <x:v>未开始</x:v>
      </x:c>
      <x:c r="O43" s="85" t="n">
        <x:v>0</x:v>
      </x:c>
      <x:c r="P43" s="60" t="str">
        <x:v>P0</x:v>
      </x:c>
      <x:c r="Q43" s="60" t="str"/>
      <x:c r="R43" s="64" t="n">
        <x:f>IF(OR(N43="已完成",N43="不适用"),0,MAX(0,TODAY()-F43))</x:f>
        <x:v>0</x:v>
      </x:c>
    </x:row>
    <x:row r="44">
      <x:c r="A44" s="63" t="str">
        <x:v>P1.3.9.2</x:v>
      </x:c>
      <x:c r="B44" s="60" t="str">
        <x:v>P1</x:v>
      </x:c>
      <x:c r="C44" s="60" t="str">
        <x:v>MDM</x:v>
      </x:c>
      <x:c r="D44" s="60" t="str">
        <x:v>上线主数据API事件和快照：完成评审并纳入版本基线</x:v>
      </x:c>
      <x:c r="E44" s="81" t="n">
        <x:v>46344</x:v>
      </x:c>
      <x:c r="F44" s="81" t="n">
        <x:v>46346</x:v>
      </x:c>
      <x:c r="G44" s="60" t="n">
        <x:v>3</x:v>
      </x:c>
      <x:c r="H44" s="60" t="str"/>
      <x:c r="I44" s="60" t="str">
        <x:v>MDM组</x:v>
      </x:c>
      <x:c r="J44" s="60" t="str">
        <x:v>工作流负责人</x:v>
      </x:c>
      <x:c r="K44" s="60" t="str">
        <x:v>相关业务科室/厂商</x:v>
      </x:c>
      <x:c r="L44" s="60" t="str">
        <x:v>评审纪要、问题清单和版本基线</x:v>
      </x:c>
      <x:c r="M44" s="60" t="str">
        <x:v>业务、技术、测试共同签字，证据可追溯</x:v>
      </x:c>
      <x:c r="N44" s="60" t="str">
        <x:v>未开始</x:v>
      </x:c>
      <x:c r="O44" s="85" t="n">
        <x:v>0</x:v>
      </x:c>
      <x:c r="P44" s="60" t="str">
        <x:v>P0</x:v>
      </x:c>
      <x:c r="Q44" s="60" t="str"/>
      <x:c r="R44" s="64" t="n">
        <x:f>IF(OR(N44="已完成",N44="不适用"),0,MAX(0,TODAY()-F44))</x:f>
        <x:v>0</x:v>
      </x:c>
    </x:row>
    <x:row r="45">
      <x:c r="A45" s="63" t="str">
        <x:v>P1.3.10.1</x:v>
      </x:c>
      <x:c r="B45" s="60" t="str">
        <x:v>P1</x:v>
      </x:c>
      <x:c r="C45" s="60" t="str">
        <x:v>MDM</x:v>
      </x:c>
      <x:c r="D45" s="60" t="str">
        <x:v>建立审核队列与运营指标</x:v>
      </x:c>
      <x:c r="E45" s="81" t="n">
        <x:v>46347</x:v>
      </x:c>
      <x:c r="F45" s="81" t="n">
        <x:v>46351</x:v>
      </x:c>
      <x:c r="G45" s="60" t="n">
        <x:v>5</x:v>
      </x:c>
      <x:c r="H45" s="60" t="str"/>
      <x:c r="I45" s="60" t="str">
        <x:v>MDM组</x:v>
      </x:c>
      <x:c r="J45" s="60" t="str">
        <x:v>工作流负责人</x:v>
      </x:c>
      <x:c r="K45" s="60" t="str">
        <x:v>相关业务科室/厂商</x:v>
      </x:c>
      <x:c r="L45" s="60" t="str">
        <x:v>经评审的建立审核队列与运营指标交付物</x:v>
      </x:c>
      <x:c r="M45" s="60" t="str">
        <x:v>内容完整、可执行、与总体模型和标准一致</x:v>
      </x:c>
      <x:c r="N45" s="60" t="str">
        <x:v>未开始</x:v>
      </x:c>
      <x:c r="O45" s="85" t="n">
        <x:v>0</x:v>
      </x:c>
      <x:c r="P45" s="60" t="str">
        <x:v>P0</x:v>
      </x:c>
      <x:c r="Q45" s="60" t="str"/>
      <x:c r="R45" s="64" t="n">
        <x:f>IF(OR(N45="已完成",N45="不适用"),0,MAX(0,TODAY()-F45))</x:f>
        <x:v>0</x:v>
      </x:c>
    </x:row>
    <x:row r="46">
      <x:c r="A46" s="63" t="str">
        <x:v>P1.3.10.2</x:v>
      </x:c>
      <x:c r="B46" s="60" t="str">
        <x:v>P1</x:v>
      </x:c>
      <x:c r="C46" s="60" t="str">
        <x:v>MDM</x:v>
      </x:c>
      <x:c r="D46" s="60" t="str">
        <x:v>建立审核队列与运营指标：完成评审并纳入版本基线</x:v>
      </x:c>
      <x:c r="E46" s="81" t="n">
        <x:v>46351</x:v>
      </x:c>
      <x:c r="F46" s="81" t="n">
        <x:v>46353</x:v>
      </x:c>
      <x:c r="G46" s="60" t="n">
        <x:v>3</x:v>
      </x:c>
      <x:c r="H46" s="60" t="str"/>
      <x:c r="I46" s="60" t="str">
        <x:v>MDM组</x:v>
      </x:c>
      <x:c r="J46" s="60" t="str">
        <x:v>工作流负责人</x:v>
      </x:c>
      <x:c r="K46" s="60" t="str">
        <x:v>相关业务科室/厂商</x:v>
      </x:c>
      <x:c r="L46" s="60" t="str">
        <x:v>评审纪要、问题清单和版本基线</x:v>
      </x:c>
      <x:c r="M46" s="60" t="str">
        <x:v>业务、技术、测试共同签字，证据可追溯</x:v>
      </x:c>
      <x:c r="N46" s="60" t="str">
        <x:v>未开始</x:v>
      </x:c>
      <x:c r="O46" s="85" t="n">
        <x:v>0</x:v>
      </x:c>
      <x:c r="P46" s="60" t="str">
        <x:v>P0</x:v>
      </x:c>
      <x:c r="Q46" s="60" t="str"/>
      <x:c r="R46" s="64" t="n">
        <x:f>IF(OR(N46="已完成",N46="不适用"),0,MAX(0,TODAY()-F46))</x:f>
        <x:v>0</x:v>
      </x:c>
    </x:row>
    <x:row r="47">
      <x:c r="A47" s="63" t="str">
        <x:v>P2.4.1.1</x:v>
      </x:c>
      <x:c r="B47" s="60" t="str">
        <x:v>P2</x:v>
      </x:c>
      <x:c r="C47" s="60" t="str">
        <x:v>集成与CDR</x:v>
      </x:c>
      <x:c r="D47" s="60" t="str">
        <x:v>梳理HIS EMR LIS PACS手麻输血病案护理HRP互联网医院</x:v>
      </x:c>
      <x:c r="E47" s="81" t="n">
        <x:v>46368</x:v>
      </x:c>
      <x:c r="F47" s="81" t="n">
        <x:v>46372</x:v>
      </x:c>
      <x:c r="G47" s="60" t="n">
        <x:v>5</x:v>
      </x:c>
      <x:c r="H47" s="60" t="str"/>
      <x:c r="I47" s="60" t="str">
        <x:v>平台与CDR组</x:v>
      </x:c>
      <x:c r="J47" s="60" t="str">
        <x:v>工作流负责人</x:v>
      </x:c>
      <x:c r="K47" s="60" t="str">
        <x:v>相关业务科室/厂商</x:v>
      </x:c>
      <x:c r="L47" s="60" t="str">
        <x:v>经评审的梳理HIS EMR LIS PACS手麻输血病案护理HRP互联网医院交付物</x:v>
      </x:c>
      <x:c r="M47" s="60" t="str">
        <x:v>内容完整、可执行、与总体模型和标准一致</x:v>
      </x:c>
      <x:c r="N47" s="60" t="str">
        <x:v>未开始</x:v>
      </x:c>
      <x:c r="O47" s="85" t="n">
        <x:v>0</x:v>
      </x:c>
      <x:c r="P47" s="60" t="str">
        <x:v>P0</x:v>
      </x:c>
      <x:c r="Q47" s="60" t="str"/>
      <x:c r="R47" s="64" t="n">
        <x:f>IF(OR(N47="已完成",N47="不适用"),0,MAX(0,TODAY()-F47))</x:f>
        <x:v>0</x:v>
      </x:c>
    </x:row>
    <x:row r="48">
      <x:c r="A48" s="63" t="str">
        <x:v>P2.4.1.2</x:v>
      </x:c>
      <x:c r="B48" s="60" t="str">
        <x:v>P2</x:v>
      </x:c>
      <x:c r="C48" s="60" t="str">
        <x:v>集成与CDR</x:v>
      </x:c>
      <x:c r="D48" s="60" t="str">
        <x:v>梳理HIS EMR LIS PACS手麻输血病案护理HRP互联网医院：完成评审并纳入版本基线</x:v>
      </x:c>
      <x:c r="E48" s="81" t="n">
        <x:v>46372</x:v>
      </x:c>
      <x:c r="F48" s="81" t="n">
        <x:v>46374</x:v>
      </x:c>
      <x:c r="G48" s="60" t="n">
        <x:v>3</x:v>
      </x:c>
      <x:c r="H48" s="60" t="str"/>
      <x:c r="I48" s="60" t="str">
        <x:v>平台与CDR组</x:v>
      </x:c>
      <x:c r="J48" s="60" t="str">
        <x:v>工作流负责人</x:v>
      </x:c>
      <x:c r="K48" s="60" t="str">
        <x:v>相关业务科室/厂商</x:v>
      </x:c>
      <x:c r="L48" s="60" t="str">
        <x:v>评审纪要、问题清单和版本基线</x:v>
      </x:c>
      <x:c r="M48" s="60" t="str">
        <x:v>业务、技术、测试共同签字，证据可追溯</x:v>
      </x:c>
      <x:c r="N48" s="60" t="str">
        <x:v>未开始</x:v>
      </x:c>
      <x:c r="O48" s="85" t="n">
        <x:v>0</x:v>
      </x:c>
      <x:c r="P48" s="60" t="str">
        <x:v>P0</x:v>
      </x:c>
      <x:c r="Q48" s="60" t="str"/>
      <x:c r="R48" s="64" t="n">
        <x:f>IF(OR(N48="已完成",N48="不适用"),0,MAX(0,TODAY()-F48))</x:f>
        <x:v>0</x:v>
      </x:c>
    </x:row>
    <x:row r="49">
      <x:c r="A49" s="63" t="str">
        <x:v>P2.4.2.1</x:v>
      </x:c>
      <x:c r="B49" s="60" t="str">
        <x:v>P2</x:v>
      </x:c>
      <x:c r="C49" s="60" t="str">
        <x:v>集成与CDR</x:v>
      </x:c>
      <x:c r="D49" s="60" t="str">
        <x:v>建设来源系统和接口目录</x:v>
      </x:c>
      <x:c r="E49" s="81" t="n">
        <x:v>46375</x:v>
      </x:c>
      <x:c r="F49" s="81" t="n">
        <x:v>46379</x:v>
      </x:c>
      <x:c r="G49" s="60" t="n">
        <x:v>5</x:v>
      </x:c>
      <x:c r="H49" s="60" t="str"/>
      <x:c r="I49" s="60" t="str">
        <x:v>平台与CDR组</x:v>
      </x:c>
      <x:c r="J49" s="60" t="str">
        <x:v>工作流负责人</x:v>
      </x:c>
      <x:c r="K49" s="60" t="str">
        <x:v>相关业务科室/厂商</x:v>
      </x:c>
      <x:c r="L49" s="60" t="str">
        <x:v>经评审的建设来源系统和接口目录交付物</x:v>
      </x:c>
      <x:c r="M49" s="60" t="str">
        <x:v>内容完整、可执行、与总体模型和标准一致</x:v>
      </x:c>
      <x:c r="N49" s="60" t="str">
        <x:v>未开始</x:v>
      </x:c>
      <x:c r="O49" s="85" t="n">
        <x:v>0</x:v>
      </x:c>
      <x:c r="P49" s="60" t="str">
        <x:v>P0</x:v>
      </x:c>
      <x:c r="Q49" s="60" t="str"/>
      <x:c r="R49" s="64" t="n">
        <x:f>IF(OR(N49="已完成",N49="不适用"),0,MAX(0,TODAY()-F49))</x:f>
        <x:v>0</x:v>
      </x:c>
    </x:row>
    <x:row r="50">
      <x:c r="A50" s="63" t="str">
        <x:v>P2.4.2.2</x:v>
      </x:c>
      <x:c r="B50" s="60" t="str">
        <x:v>P2</x:v>
      </x:c>
      <x:c r="C50" s="60" t="str">
        <x:v>集成与CDR</x:v>
      </x:c>
      <x:c r="D50" s="60" t="str">
        <x:v>建设来源系统和接口目录：完成评审并纳入版本基线</x:v>
      </x:c>
      <x:c r="E50" s="81" t="n">
        <x:v>46379</x:v>
      </x:c>
      <x:c r="F50" s="81" t="n">
        <x:v>46381</x:v>
      </x:c>
      <x:c r="G50" s="60" t="n">
        <x:v>3</x:v>
      </x:c>
      <x:c r="H50" s="60" t="str"/>
      <x:c r="I50" s="60" t="str">
        <x:v>平台与CDR组</x:v>
      </x:c>
      <x:c r="J50" s="60" t="str">
        <x:v>工作流负责人</x:v>
      </x:c>
      <x:c r="K50" s="60" t="str">
        <x:v>相关业务科室/厂商</x:v>
      </x:c>
      <x:c r="L50" s="60" t="str">
        <x:v>评审纪要、问题清单和版本基线</x:v>
      </x:c>
      <x:c r="M50" s="60" t="str">
        <x:v>业务、技术、测试共同签字，证据可追溯</x:v>
      </x:c>
      <x:c r="N50" s="60" t="str">
        <x:v>未开始</x:v>
      </x:c>
      <x:c r="O50" s="85" t="n">
        <x:v>0</x:v>
      </x:c>
      <x:c r="P50" s="60" t="str">
        <x:v>P0</x:v>
      </x:c>
      <x:c r="Q50" s="60" t="str"/>
      <x:c r="R50" s="64" t="n">
        <x:f>IF(OR(N50="已完成",N50="不适用"),0,MAX(0,TODAY()-F50))</x:f>
        <x:v>0</x:v>
      </x:c>
    </x:row>
    <x:row r="51">
      <x:c r="A51" s="63" t="str">
        <x:v>P2.4.3.1</x:v>
      </x:c>
      <x:c r="B51" s="60" t="str">
        <x:v>P2</x:v>
      </x:c>
      <x:c r="C51" s="60" t="str">
        <x:v>集成与CDR</x:v>
      </x:c>
      <x:c r="D51" s="60" t="str">
        <x:v>建立CDC消息文件批量采集规范</x:v>
      </x:c>
      <x:c r="E51" s="81" t="n">
        <x:v>46382</x:v>
      </x:c>
      <x:c r="F51" s="81" t="n">
        <x:v>46386</x:v>
      </x:c>
      <x:c r="G51" s="60" t="n">
        <x:v>5</x:v>
      </x:c>
      <x:c r="H51" s="60" t="str"/>
      <x:c r="I51" s="60" t="str">
        <x:v>平台与CDR组</x:v>
      </x:c>
      <x:c r="J51" s="60" t="str">
        <x:v>工作流负责人</x:v>
      </x:c>
      <x:c r="K51" s="60" t="str">
        <x:v>相关业务科室/厂商</x:v>
      </x:c>
      <x:c r="L51" s="60" t="str">
        <x:v>经评审的建立CDC消息文件批量采集规范交付物</x:v>
      </x:c>
      <x:c r="M51" s="60" t="str">
        <x:v>内容完整、可执行、与总体模型和标准一致</x:v>
      </x:c>
      <x:c r="N51" s="60" t="str">
        <x:v>未开始</x:v>
      </x:c>
      <x:c r="O51" s="85" t="n">
        <x:v>0</x:v>
      </x:c>
      <x:c r="P51" s="60" t="str">
        <x:v>P0</x:v>
      </x:c>
      <x:c r="Q51" s="60" t="str"/>
      <x:c r="R51" s="64" t="n">
        <x:f>IF(OR(N51="已完成",N51="不适用"),0,MAX(0,TODAY()-F51))</x:f>
        <x:v>0</x:v>
      </x:c>
    </x:row>
    <x:row r="52">
      <x:c r="A52" s="63" t="str">
        <x:v>P2.4.3.2</x:v>
      </x:c>
      <x:c r="B52" s="60" t="str">
        <x:v>P2</x:v>
      </x:c>
      <x:c r="C52" s="60" t="str">
        <x:v>集成与CDR</x:v>
      </x:c>
      <x:c r="D52" s="60" t="str">
        <x:v>建立CDC消息文件批量采集规范：完成评审并纳入版本基线</x:v>
      </x:c>
      <x:c r="E52" s="81" t="n">
        <x:v>46386</x:v>
      </x:c>
      <x:c r="F52" s="81" t="n">
        <x:v>46388</x:v>
      </x:c>
      <x:c r="G52" s="60" t="n">
        <x:v>3</x:v>
      </x:c>
      <x:c r="H52" s="60" t="str"/>
      <x:c r="I52" s="60" t="str">
        <x:v>平台与CDR组</x:v>
      </x:c>
      <x:c r="J52" s="60" t="str">
        <x:v>工作流负责人</x:v>
      </x:c>
      <x:c r="K52" s="60" t="str">
        <x:v>相关业务科室/厂商</x:v>
      </x:c>
      <x:c r="L52" s="60" t="str">
        <x:v>评审纪要、问题清单和版本基线</x:v>
      </x:c>
      <x:c r="M52" s="60" t="str">
        <x:v>业务、技术、测试共同签字，证据可追溯</x:v>
      </x:c>
      <x:c r="N52" s="60" t="str">
        <x:v>未开始</x:v>
      </x:c>
      <x:c r="O52" s="85" t="n">
        <x:v>0</x:v>
      </x:c>
      <x:c r="P52" s="60" t="str">
        <x:v>P0</x:v>
      </x:c>
      <x:c r="Q52" s="60" t="str"/>
      <x:c r="R52" s="64" t="n">
        <x:f>IF(OR(N52="已完成",N52="不适用"),0,MAX(0,TODAY()-F52))</x:f>
        <x:v>0</x:v>
      </x:c>
    </x:row>
    <x:row r="53">
      <x:c r="A53" s="63" t="str">
        <x:v>P2.4.4.1</x:v>
      </x:c>
      <x:c r="B53" s="60" t="str">
        <x:v>P2</x:v>
      </x:c>
      <x:c r="C53" s="60" t="str">
        <x:v>集成与CDR</x:v>
      </x:c>
      <x:c r="D53" s="60" t="str">
        <x:v>建立患者-就诊-临床事件模型</x:v>
      </x:c>
      <x:c r="E53" s="81" t="n">
        <x:v>46389</x:v>
      </x:c>
      <x:c r="F53" s="81" t="n">
        <x:v>46393</x:v>
      </x:c>
      <x:c r="G53" s="60" t="n">
        <x:v>5</x:v>
      </x:c>
      <x:c r="H53" s="60" t="str"/>
      <x:c r="I53" s="60" t="str">
        <x:v>平台与CDR组</x:v>
      </x:c>
      <x:c r="J53" s="60" t="str">
        <x:v>工作流负责人</x:v>
      </x:c>
      <x:c r="K53" s="60" t="str">
        <x:v>相关业务科室/厂商</x:v>
      </x:c>
      <x:c r="L53" s="60" t="str">
        <x:v>经评审的建立患者-就诊-临床事件模型交付物</x:v>
      </x:c>
      <x:c r="M53" s="60" t="str">
        <x:v>内容完整、可执行、与总体模型和标准一致</x:v>
      </x:c>
      <x:c r="N53" s="60" t="str">
        <x:v>未开始</x:v>
      </x:c>
      <x:c r="O53" s="85" t="n">
        <x:v>0</x:v>
      </x:c>
      <x:c r="P53" s="60" t="str">
        <x:v>P0</x:v>
      </x:c>
      <x:c r="Q53" s="60" t="str"/>
      <x:c r="R53" s="64" t="n">
        <x:f>IF(OR(N53="已完成",N53="不适用"),0,MAX(0,TODAY()-F53))</x:f>
        <x:v>0</x:v>
      </x:c>
    </x:row>
    <x:row r="54">
      <x:c r="A54" s="63" t="str">
        <x:v>P2.4.4.2</x:v>
      </x:c>
      <x:c r="B54" s="60" t="str">
        <x:v>P2</x:v>
      </x:c>
      <x:c r="C54" s="60" t="str">
        <x:v>集成与CDR</x:v>
      </x:c>
      <x:c r="D54" s="60" t="str">
        <x:v>建立患者-就诊-临床事件模型：完成评审并纳入版本基线</x:v>
      </x:c>
      <x:c r="E54" s="81" t="n">
        <x:v>46393</x:v>
      </x:c>
      <x:c r="F54" s="81" t="n">
        <x:v>46395</x:v>
      </x:c>
      <x:c r="G54" s="60" t="n">
        <x:v>3</x:v>
      </x:c>
      <x:c r="H54" s="60" t="str"/>
      <x:c r="I54" s="60" t="str">
        <x:v>平台与CDR组</x:v>
      </x:c>
      <x:c r="J54" s="60" t="str">
        <x:v>工作流负责人</x:v>
      </x:c>
      <x:c r="K54" s="60" t="str">
        <x:v>相关业务科室/厂商</x:v>
      </x:c>
      <x:c r="L54" s="60" t="str">
        <x:v>评审纪要、问题清单和版本基线</x:v>
      </x:c>
      <x:c r="M54" s="60" t="str">
        <x:v>业务、技术、测试共同签字，证据可追溯</x:v>
      </x:c>
      <x:c r="N54" s="60" t="str">
        <x:v>未开始</x:v>
      </x:c>
      <x:c r="O54" s="85" t="n">
        <x:v>0</x:v>
      </x:c>
      <x:c r="P54" s="60" t="str">
        <x:v>P0</x:v>
      </x:c>
      <x:c r="Q54" s="60" t="str"/>
      <x:c r="R54" s="64" t="n">
        <x:f>IF(OR(N54="已完成",N54="不适用"),0,MAX(0,TODAY()-F54))</x:f>
        <x:v>0</x:v>
      </x:c>
    </x:row>
    <x:row r="55">
      <x:c r="A55" s="63" t="str">
        <x:v>P2.4.5.1</x:v>
      </x:c>
      <x:c r="B55" s="60" t="str">
        <x:v>P2</x:v>
      </x:c>
      <x:c r="C55" s="60" t="str">
        <x:v>集成与CDR</x:v>
      </x:c>
      <x:c r="D55" s="60" t="str">
        <x:v>建设诊断医嘱观察报告标本手术给药文档主题</x:v>
      </x:c>
      <x:c r="E55" s="81" t="n">
        <x:v>46396</x:v>
      </x:c>
      <x:c r="F55" s="81" t="n">
        <x:v>46400</x:v>
      </x:c>
      <x:c r="G55" s="60" t="n">
        <x:v>5</x:v>
      </x:c>
      <x:c r="H55" s="60" t="str"/>
      <x:c r="I55" s="60" t="str">
        <x:v>平台与CDR组</x:v>
      </x:c>
      <x:c r="J55" s="60" t="str">
        <x:v>工作流负责人</x:v>
      </x:c>
      <x:c r="K55" s="60" t="str">
        <x:v>相关业务科室/厂商</x:v>
      </x:c>
      <x:c r="L55" s="60" t="str">
        <x:v>经评审的建设诊断医嘱观察报告标本手术给药文档主题交付物</x:v>
      </x:c>
      <x:c r="M55" s="60" t="str">
        <x:v>内容完整、可执行、与总体模型和标准一致</x:v>
      </x:c>
      <x:c r="N55" s="60" t="str">
        <x:v>未开始</x:v>
      </x:c>
      <x:c r="O55" s="85" t="n">
        <x:v>0</x:v>
      </x:c>
      <x:c r="P55" s="60" t="str">
        <x:v>P0</x:v>
      </x:c>
      <x:c r="Q55" s="60" t="str"/>
      <x:c r="R55" s="64" t="n">
        <x:f>IF(OR(N55="已完成",N55="不适用"),0,MAX(0,TODAY()-F55))</x:f>
        <x:v>0</x:v>
      </x:c>
    </x:row>
    <x:row r="56">
      <x:c r="A56" s="63" t="str">
        <x:v>P2.4.5.2</x:v>
      </x:c>
      <x:c r="B56" s="60" t="str">
        <x:v>P2</x:v>
      </x:c>
      <x:c r="C56" s="60" t="str">
        <x:v>集成与CDR</x:v>
      </x:c>
      <x:c r="D56" s="60" t="str">
        <x:v>建设诊断医嘱观察报告标本手术给药文档主题：完成评审并纳入版本基线</x:v>
      </x:c>
      <x:c r="E56" s="81" t="n">
        <x:v>46400</x:v>
      </x:c>
      <x:c r="F56" s="81" t="n">
        <x:v>46402</x:v>
      </x:c>
      <x:c r="G56" s="60" t="n">
        <x:v>3</x:v>
      </x:c>
      <x:c r="H56" s="60" t="str"/>
      <x:c r="I56" s="60" t="str">
        <x:v>平台与CDR组</x:v>
      </x:c>
      <x:c r="J56" s="60" t="str">
        <x:v>工作流负责人</x:v>
      </x:c>
      <x:c r="K56" s="60" t="str">
        <x:v>相关业务科室/厂商</x:v>
      </x:c>
      <x:c r="L56" s="60" t="str">
        <x:v>评审纪要、问题清单和版本基线</x:v>
      </x:c>
      <x:c r="M56" s="60" t="str">
        <x:v>业务、技术、测试共同签字，证据可追溯</x:v>
      </x:c>
      <x:c r="N56" s="60" t="str">
        <x:v>未开始</x:v>
      </x:c>
      <x:c r="O56" s="85" t="n">
        <x:v>0</x:v>
      </x:c>
      <x:c r="P56" s="60" t="str">
        <x:v>P0</x:v>
      </x:c>
      <x:c r="Q56" s="60" t="str"/>
      <x:c r="R56" s="64" t="n">
        <x:f>IF(OR(N56="已完成",N56="不适用"),0,MAX(0,TODAY()-F56))</x:f>
        <x:v>0</x:v>
      </x:c>
    </x:row>
    <x:row r="57">
      <x:c r="A57" s="63" t="str">
        <x:v>P2.4.6.1</x:v>
      </x:c>
      <x:c r="B57" s="60" t="str">
        <x:v>P2</x:v>
      </x:c>
      <x:c r="C57" s="60" t="str">
        <x:v>集成与CDR</x:v>
      </x:c>
      <x:c r="D57" s="60" t="str">
        <x:v>历史装载增量同步和对账</x:v>
      </x:c>
      <x:c r="E57" s="81" t="n">
        <x:v>46403</x:v>
      </x:c>
      <x:c r="F57" s="81" t="n">
        <x:v>46407</x:v>
      </x:c>
      <x:c r="G57" s="60" t="n">
        <x:v>5</x:v>
      </x:c>
      <x:c r="H57" s="60" t="str"/>
      <x:c r="I57" s="60" t="str">
        <x:v>平台与CDR组</x:v>
      </x:c>
      <x:c r="J57" s="60" t="str">
        <x:v>工作流负责人</x:v>
      </x:c>
      <x:c r="K57" s="60" t="str">
        <x:v>相关业务科室/厂商</x:v>
      </x:c>
      <x:c r="L57" s="60" t="str">
        <x:v>经评审的历史装载增量同步和对账交付物</x:v>
      </x:c>
      <x:c r="M57" s="60" t="str">
        <x:v>内容完整、可执行、与总体模型和标准一致</x:v>
      </x:c>
      <x:c r="N57" s="60" t="str">
        <x:v>未开始</x:v>
      </x:c>
      <x:c r="O57" s="85" t="n">
        <x:v>0</x:v>
      </x:c>
      <x:c r="P57" s="60" t="str">
        <x:v>P0</x:v>
      </x:c>
      <x:c r="Q57" s="60" t="str"/>
      <x:c r="R57" s="64" t="n">
        <x:f>IF(OR(N57="已完成",N57="不适用"),0,MAX(0,TODAY()-F57))</x:f>
        <x:v>0</x:v>
      </x:c>
    </x:row>
    <x:row r="58">
      <x:c r="A58" s="63" t="str">
        <x:v>P2.4.6.2</x:v>
      </x:c>
      <x:c r="B58" s="60" t="str">
        <x:v>P2</x:v>
      </x:c>
      <x:c r="C58" s="60" t="str">
        <x:v>集成与CDR</x:v>
      </x:c>
      <x:c r="D58" s="60" t="str">
        <x:v>历史装载增量同步和对账：完成评审并纳入版本基线</x:v>
      </x:c>
      <x:c r="E58" s="81" t="n">
        <x:v>46407</x:v>
      </x:c>
      <x:c r="F58" s="81" t="n">
        <x:v>46409</x:v>
      </x:c>
      <x:c r="G58" s="60" t="n">
        <x:v>3</x:v>
      </x:c>
      <x:c r="H58" s="60" t="str"/>
      <x:c r="I58" s="60" t="str">
        <x:v>平台与CDR组</x:v>
      </x:c>
      <x:c r="J58" s="60" t="str">
        <x:v>工作流负责人</x:v>
      </x:c>
      <x:c r="K58" s="60" t="str">
        <x:v>相关业务科室/厂商</x:v>
      </x:c>
      <x:c r="L58" s="60" t="str">
        <x:v>评审纪要、问题清单和版本基线</x:v>
      </x:c>
      <x:c r="M58" s="60" t="str">
        <x:v>业务、技术、测试共同签字，证据可追溯</x:v>
      </x:c>
      <x:c r="N58" s="60" t="str">
        <x:v>未开始</x:v>
      </x:c>
      <x:c r="O58" s="85" t="n">
        <x:v>0</x:v>
      </x:c>
      <x:c r="P58" s="60" t="str">
        <x:v>P0</x:v>
      </x:c>
      <x:c r="Q58" s="60" t="str"/>
      <x:c r="R58" s="64" t="n">
        <x:f>IF(OR(N58="已完成",N58="不适用"),0,MAX(0,TODAY()-F58))</x:f>
        <x:v>0</x:v>
      </x:c>
    </x:row>
    <x:row r="59">
      <x:c r="A59" s="63" t="str">
        <x:v>P2.4.7.1</x:v>
      </x:c>
      <x:c r="B59" s="60" t="str">
        <x:v>P2</x:v>
      </x:c>
      <x:c r="C59" s="60" t="str">
        <x:v>集成与CDR</x:v>
      </x:c>
      <x:c r="D59" s="60" t="str">
        <x:v>隔离区重试死信和补偿</x:v>
      </x:c>
      <x:c r="E59" s="81" t="n">
        <x:v>46410</x:v>
      </x:c>
      <x:c r="F59" s="81" t="n">
        <x:v>46414</x:v>
      </x:c>
      <x:c r="G59" s="60" t="n">
        <x:v>5</x:v>
      </x:c>
      <x:c r="H59" s="60" t="str"/>
      <x:c r="I59" s="60" t="str">
        <x:v>平台与CDR组</x:v>
      </x:c>
      <x:c r="J59" s="60" t="str">
        <x:v>工作流负责人</x:v>
      </x:c>
      <x:c r="K59" s="60" t="str">
        <x:v>相关业务科室/厂商</x:v>
      </x:c>
      <x:c r="L59" s="60" t="str">
        <x:v>经评审的隔离区重试死信和补偿交付物</x:v>
      </x:c>
      <x:c r="M59" s="60" t="str">
        <x:v>内容完整、可执行、与总体模型和标准一致</x:v>
      </x:c>
      <x:c r="N59" s="60" t="str">
        <x:v>未开始</x:v>
      </x:c>
      <x:c r="O59" s="85" t="n">
        <x:v>0</x:v>
      </x:c>
      <x:c r="P59" s="60" t="str">
        <x:v>P0</x:v>
      </x:c>
      <x:c r="Q59" s="60" t="str"/>
      <x:c r="R59" s="64" t="n">
        <x:f>IF(OR(N59="已完成",N59="不适用"),0,MAX(0,TODAY()-F59))</x:f>
        <x:v>0</x:v>
      </x:c>
    </x:row>
    <x:row r="60">
      <x:c r="A60" s="63" t="str">
        <x:v>P2.4.7.2</x:v>
      </x:c>
      <x:c r="B60" s="60" t="str">
        <x:v>P2</x:v>
      </x:c>
      <x:c r="C60" s="60" t="str">
        <x:v>集成与CDR</x:v>
      </x:c>
      <x:c r="D60" s="60" t="str">
        <x:v>隔离区重试死信和补偿：完成评审并纳入版本基线</x:v>
      </x:c>
      <x:c r="E60" s="81" t="n">
        <x:v>46414</x:v>
      </x:c>
      <x:c r="F60" s="81" t="n">
        <x:v>46416</x:v>
      </x:c>
      <x:c r="G60" s="60" t="n">
        <x:v>3</x:v>
      </x:c>
      <x:c r="H60" s="60" t="str"/>
      <x:c r="I60" s="60" t="str">
        <x:v>平台与CDR组</x:v>
      </x:c>
      <x:c r="J60" s="60" t="str">
        <x:v>工作流负责人</x:v>
      </x:c>
      <x:c r="K60" s="60" t="str">
        <x:v>相关业务科室/厂商</x:v>
      </x:c>
      <x:c r="L60" s="60" t="str">
        <x:v>评审纪要、问题清单和版本基线</x:v>
      </x:c>
      <x:c r="M60" s="60" t="str">
        <x:v>业务、技术、测试共同签字，证据可追溯</x:v>
      </x:c>
      <x:c r="N60" s="60" t="str">
        <x:v>未开始</x:v>
      </x:c>
      <x:c r="O60" s="85" t="n">
        <x:v>0</x:v>
      </x:c>
      <x:c r="P60" s="60" t="str">
        <x:v>P0</x:v>
      </x:c>
      <x:c r="Q60" s="60" t="str"/>
      <x:c r="R60" s="64" t="n">
        <x:f>IF(OR(N60="已完成",N60="不适用"),0,MAX(0,TODAY()-F60))</x:f>
        <x:v>0</x:v>
      </x:c>
    </x:row>
    <x:row r="61">
      <x:c r="A61" s="63" t="str">
        <x:v>P2.4.8.1</x:v>
      </x:c>
      <x:c r="B61" s="60" t="str">
        <x:v>P2</x:v>
      </x:c>
      <x:c r="C61" s="60" t="str">
        <x:v>集成与CDR</x:v>
      </x:c>
      <x:c r="D61" s="60" t="str">
        <x:v>共享文档生成校验注册调阅</x:v>
      </x:c>
      <x:c r="E61" s="81" t="n">
        <x:v>46417</x:v>
      </x:c>
      <x:c r="F61" s="81" t="n">
        <x:v>46421</x:v>
      </x:c>
      <x:c r="G61" s="60" t="n">
        <x:v>5</x:v>
      </x:c>
      <x:c r="H61" s="60" t="str"/>
      <x:c r="I61" s="60" t="str">
        <x:v>平台与CDR组</x:v>
      </x:c>
      <x:c r="J61" s="60" t="str">
        <x:v>工作流负责人</x:v>
      </x:c>
      <x:c r="K61" s="60" t="str">
        <x:v>相关业务科室/厂商</x:v>
      </x:c>
      <x:c r="L61" s="60" t="str">
        <x:v>经评审的共享文档生成校验注册调阅交付物</x:v>
      </x:c>
      <x:c r="M61" s="60" t="str">
        <x:v>内容完整、可执行、与总体模型和标准一致</x:v>
      </x:c>
      <x:c r="N61" s="60" t="str">
        <x:v>未开始</x:v>
      </x:c>
      <x:c r="O61" s="85" t="n">
        <x:v>0</x:v>
      </x:c>
      <x:c r="P61" s="60" t="str">
        <x:v>P0</x:v>
      </x:c>
      <x:c r="Q61" s="60" t="str"/>
      <x:c r="R61" s="64" t="n">
        <x:f>IF(OR(N61="已完成",N61="不适用"),0,MAX(0,TODAY()-F61))</x:f>
        <x:v>0</x:v>
      </x:c>
    </x:row>
    <x:row r="62">
      <x:c r="A62" s="63" t="str">
        <x:v>P2.4.8.2</x:v>
      </x:c>
      <x:c r="B62" s="60" t="str">
        <x:v>P2</x:v>
      </x:c>
      <x:c r="C62" s="60" t="str">
        <x:v>集成与CDR</x:v>
      </x:c>
      <x:c r="D62" s="60" t="str">
        <x:v>共享文档生成校验注册调阅：完成评审并纳入版本基线</x:v>
      </x:c>
      <x:c r="E62" s="81" t="n">
        <x:v>46421</x:v>
      </x:c>
      <x:c r="F62" s="81" t="n">
        <x:v>46423</x:v>
      </x:c>
      <x:c r="G62" s="60" t="n">
        <x:v>3</x:v>
      </x:c>
      <x:c r="H62" s="60" t="str"/>
      <x:c r="I62" s="60" t="str">
        <x:v>平台与CDR组</x:v>
      </x:c>
      <x:c r="J62" s="60" t="str">
        <x:v>工作流负责人</x:v>
      </x:c>
      <x:c r="K62" s="60" t="str">
        <x:v>相关业务科室/厂商</x:v>
      </x:c>
      <x:c r="L62" s="60" t="str">
        <x:v>评审纪要、问题清单和版本基线</x:v>
      </x:c>
      <x:c r="M62" s="60" t="str">
        <x:v>业务、技术、测试共同签字，证据可追溯</x:v>
      </x:c>
      <x:c r="N62" s="60" t="str">
        <x:v>未开始</x:v>
      </x:c>
      <x:c r="O62" s="85" t="n">
        <x:v>0</x:v>
      </x:c>
      <x:c r="P62" s="60" t="str">
        <x:v>P0</x:v>
      </x:c>
      <x:c r="Q62" s="60" t="str"/>
      <x:c r="R62" s="64" t="n">
        <x:f>IF(OR(N62="已完成",N62="不适用"),0,MAX(0,TODAY()-F62))</x:f>
        <x:v>0</x:v>
      </x:c>
    </x:row>
    <x:row r="63">
      <x:c r="A63" s="63" t="str">
        <x:v>P2.4.9.1</x:v>
      </x:c>
      <x:c r="B63" s="60" t="str">
        <x:v>P2</x:v>
      </x:c>
      <x:c r="C63" s="60" t="str">
        <x:v>集成与CDR</x:v>
      </x:c>
      <x:c r="D63" s="60" t="str">
        <x:v>接入18个医疗和10个运营系统</x:v>
      </x:c>
      <x:c r="E63" s="81" t="n">
        <x:v>46424</x:v>
      </x:c>
      <x:c r="F63" s="81" t="n">
        <x:v>46428</x:v>
      </x:c>
      <x:c r="G63" s="60" t="n">
        <x:v>5</x:v>
      </x:c>
      <x:c r="H63" s="60" t="str"/>
      <x:c r="I63" s="60" t="str">
        <x:v>平台与CDR组</x:v>
      </x:c>
      <x:c r="J63" s="60" t="str">
        <x:v>工作流负责人</x:v>
      </x:c>
      <x:c r="K63" s="60" t="str">
        <x:v>相关业务科室/厂商</x:v>
      </x:c>
      <x:c r="L63" s="60" t="str">
        <x:v>经评审的接入18个医疗和10个运营系统交付物</x:v>
      </x:c>
      <x:c r="M63" s="60" t="str">
        <x:v>内容完整、可执行、与总体模型和标准一致</x:v>
      </x:c>
      <x:c r="N63" s="60" t="str">
        <x:v>未开始</x:v>
      </x:c>
      <x:c r="O63" s="85" t="n">
        <x:v>0</x:v>
      </x:c>
      <x:c r="P63" s="60" t="str">
        <x:v>P0</x:v>
      </x:c>
      <x:c r="Q63" s="60" t="str"/>
      <x:c r="R63" s="64" t="n">
        <x:f>IF(OR(N63="已完成",N63="不适用"),0,MAX(0,TODAY()-F63))</x:f>
        <x:v>0</x:v>
      </x:c>
    </x:row>
    <x:row r="64">
      <x:c r="A64" s="63" t="str">
        <x:v>P2.4.9.2</x:v>
      </x:c>
      <x:c r="B64" s="60" t="str">
        <x:v>P2</x:v>
      </x:c>
      <x:c r="C64" s="60" t="str">
        <x:v>集成与CDR</x:v>
      </x:c>
      <x:c r="D64" s="60" t="str">
        <x:v>接入18个医疗和10个运营系统：完成评审并纳入版本基线</x:v>
      </x:c>
      <x:c r="E64" s="81" t="n">
        <x:v>46428</x:v>
      </x:c>
      <x:c r="F64" s="81" t="n">
        <x:v>46430</x:v>
      </x:c>
      <x:c r="G64" s="60" t="n">
        <x:v>3</x:v>
      </x:c>
      <x:c r="H64" s="60" t="str"/>
      <x:c r="I64" s="60" t="str">
        <x:v>平台与CDR组</x:v>
      </x:c>
      <x:c r="J64" s="60" t="str">
        <x:v>工作流负责人</x:v>
      </x:c>
      <x:c r="K64" s="60" t="str">
        <x:v>相关业务科室/厂商</x:v>
      </x:c>
      <x:c r="L64" s="60" t="str">
        <x:v>评审纪要、问题清单和版本基线</x:v>
      </x:c>
      <x:c r="M64" s="60" t="str">
        <x:v>业务、技术、测试共同签字，证据可追溯</x:v>
      </x:c>
      <x:c r="N64" s="60" t="str">
        <x:v>未开始</x:v>
      </x:c>
      <x:c r="O64" s="85" t="n">
        <x:v>0</x:v>
      </x:c>
      <x:c r="P64" s="60" t="str">
        <x:v>P0</x:v>
      </x:c>
      <x:c r="Q64" s="60" t="str"/>
      <x:c r="R64" s="64" t="n">
        <x:f>IF(OR(N64="已完成",N64="不适用"),0,MAX(0,TODAY()-F64))</x:f>
        <x:v>0</x:v>
      </x:c>
    </x:row>
    <x:row r="65">
      <x:c r="A65" s="63" t="str">
        <x:v>P2.4.10.1</x:v>
      </x:c>
      <x:c r="B65" s="60" t="str">
        <x:v>P2</x:v>
      </x:c>
      <x:c r="C65" s="60" t="str">
        <x:v>集成与CDR</x:v>
      </x:c>
      <x:c r="D65" s="60" t="str">
        <x:v>性能容量和稳定性压测</x:v>
      </x:c>
      <x:c r="E65" s="81" t="n">
        <x:v>46431</x:v>
      </x:c>
      <x:c r="F65" s="81" t="n">
        <x:v>46435</x:v>
      </x:c>
      <x:c r="G65" s="60" t="n">
        <x:v>5</x:v>
      </x:c>
      <x:c r="H65" s="60" t="str"/>
      <x:c r="I65" s="60" t="str">
        <x:v>平台与CDR组</x:v>
      </x:c>
      <x:c r="J65" s="60" t="str">
        <x:v>工作流负责人</x:v>
      </x:c>
      <x:c r="K65" s="60" t="str">
        <x:v>相关业务科室/厂商</x:v>
      </x:c>
      <x:c r="L65" s="60" t="str">
        <x:v>经评审的性能容量和稳定性压测交付物</x:v>
      </x:c>
      <x:c r="M65" s="60" t="str">
        <x:v>内容完整、可执行、与总体模型和标准一致</x:v>
      </x:c>
      <x:c r="N65" s="60" t="str">
        <x:v>未开始</x:v>
      </x:c>
      <x:c r="O65" s="85" t="n">
        <x:v>0</x:v>
      </x:c>
      <x:c r="P65" s="60" t="str">
        <x:v>P0</x:v>
      </x:c>
      <x:c r="Q65" s="60" t="str"/>
      <x:c r="R65" s="64" t="n">
        <x:f>IF(OR(N65="已完成",N65="不适用"),0,MAX(0,TODAY()-F65))</x:f>
        <x:v>0</x:v>
      </x:c>
    </x:row>
    <x:row r="66">
      <x:c r="A66" s="63" t="str">
        <x:v>P2.4.10.2</x:v>
      </x:c>
      <x:c r="B66" s="60" t="str">
        <x:v>P2</x:v>
      </x:c>
      <x:c r="C66" s="60" t="str">
        <x:v>集成与CDR</x:v>
      </x:c>
      <x:c r="D66" s="60" t="str">
        <x:v>性能容量和稳定性压测：完成评审并纳入版本基线</x:v>
      </x:c>
      <x:c r="E66" s="81" t="n">
        <x:v>46435</x:v>
      </x:c>
      <x:c r="F66" s="81" t="n">
        <x:v>46437</x:v>
      </x:c>
      <x:c r="G66" s="60" t="n">
        <x:v>3</x:v>
      </x:c>
      <x:c r="H66" s="60" t="str"/>
      <x:c r="I66" s="60" t="str">
        <x:v>平台与CDR组</x:v>
      </x:c>
      <x:c r="J66" s="60" t="str">
        <x:v>工作流负责人</x:v>
      </x:c>
      <x:c r="K66" s="60" t="str">
        <x:v>相关业务科室/厂商</x:v>
      </x:c>
      <x:c r="L66" s="60" t="str">
        <x:v>评审纪要、问题清单和版本基线</x:v>
      </x:c>
      <x:c r="M66" s="60" t="str">
        <x:v>业务、技术、测试共同签字，证据可追溯</x:v>
      </x:c>
      <x:c r="N66" s="60" t="str">
        <x:v>未开始</x:v>
      </x:c>
      <x:c r="O66" s="85" t="n">
        <x:v>0</x:v>
      </x:c>
      <x:c r="P66" s="60" t="str">
        <x:v>P0</x:v>
      </x:c>
      <x:c r="Q66" s="60" t="str"/>
      <x:c r="R66" s="64" t="n">
        <x:f>IF(OR(N66="已完成",N66="不适用"),0,MAX(0,TODAY()-F66))</x:f>
        <x:v>0</x:v>
      </x:c>
    </x:row>
    <x:row r="67">
      <x:c r="A67" s="63" t="str">
        <x:v>P1.5.1.1</x:v>
      </x:c>
      <x:c r="B67" s="60" t="str">
        <x:v>P1</x:v>
      </x:c>
      <x:c r="C67" s="60" t="str">
        <x:v>元数据质量</x:v>
      </x:c>
      <x:c r="D67" s="60" t="str">
        <x:v>自动采集库表字段作业API报表元数据</x:v>
      </x:c>
      <x:c r="E67" s="81" t="n">
        <x:v>46284</x:v>
      </x:c>
      <x:c r="F67" s="81" t="n">
        <x:v>46288</x:v>
      </x:c>
      <x:c r="G67" s="60" t="n">
        <x:v>5</x:v>
      </x:c>
      <x:c r="H67" s="60" t="str"/>
      <x:c r="I67" s="60" t="str">
        <x:v>资产与质量组</x:v>
      </x:c>
      <x:c r="J67" s="60" t="str">
        <x:v>工作流负责人</x:v>
      </x:c>
      <x:c r="K67" s="60" t="str">
        <x:v>相关业务科室/厂商</x:v>
      </x:c>
      <x:c r="L67" s="60" t="str">
        <x:v>经评审的自动采集库表字段作业API报表元数据交付物</x:v>
      </x:c>
      <x:c r="M67" s="60" t="str">
        <x:v>内容完整、可执行、与总体模型和标准一致</x:v>
      </x:c>
      <x:c r="N67" s="60" t="str">
        <x:v>未开始</x:v>
      </x:c>
      <x:c r="O67" s="85" t="n">
        <x:v>0</x:v>
      </x:c>
      <x:c r="P67" s="60" t="str">
        <x:v>P0</x:v>
      </x:c>
      <x:c r="Q67" s="60" t="str"/>
      <x:c r="R67" s="64" t="n">
        <x:f>IF(OR(N67="已完成",N67="不适用"),0,MAX(0,TODAY()-F67))</x:f>
        <x:v>0</x:v>
      </x:c>
    </x:row>
    <x:row r="68">
      <x:c r="A68" s="63" t="str">
        <x:v>P1.5.2.1</x:v>
      </x:c>
      <x:c r="B68" s="60" t="str">
        <x:v>P1</x:v>
      </x:c>
      <x:c r="C68" s="60" t="str">
        <x:v>元数据质量</x:v>
      </x:c>
      <x:c r="D68" s="60" t="str">
        <x:v>建立数据域资产Owner标签认证</x:v>
      </x:c>
      <x:c r="E68" s="81" t="n">
        <x:v>46291</x:v>
      </x:c>
      <x:c r="F68" s="81" t="n">
        <x:v>46295</x:v>
      </x:c>
      <x:c r="G68" s="60" t="n">
        <x:v>5</x:v>
      </x:c>
      <x:c r="H68" s="60" t="str"/>
      <x:c r="I68" s="60" t="str">
        <x:v>资产与质量组</x:v>
      </x:c>
      <x:c r="J68" s="60" t="str">
        <x:v>工作流负责人</x:v>
      </x:c>
      <x:c r="K68" s="60" t="str">
        <x:v>相关业务科室/厂商</x:v>
      </x:c>
      <x:c r="L68" s="60" t="str">
        <x:v>经评审的建立数据域资产Owner标签认证交付物</x:v>
      </x:c>
      <x:c r="M68" s="60" t="str">
        <x:v>内容完整、可执行、与总体模型和标准一致</x:v>
      </x:c>
      <x:c r="N68" s="60" t="str">
        <x:v>未开始</x:v>
      </x:c>
      <x:c r="O68" s="85" t="n">
        <x:v>0</x:v>
      </x:c>
      <x:c r="P68" s="60" t="str">
        <x:v>P0</x:v>
      </x:c>
      <x:c r="Q68" s="60" t="str"/>
      <x:c r="R68" s="64" t="n">
        <x:f>IF(OR(N68="已完成",N68="不适用"),0,MAX(0,TODAY()-F68))</x:f>
        <x:v>0</x:v>
      </x:c>
    </x:row>
    <x:row r="69">
      <x:c r="A69" s="63" t="str">
        <x:v>P1.5.3.1</x:v>
      </x:c>
      <x:c r="B69" s="60" t="str">
        <x:v>P1</x:v>
      </x:c>
      <x:c r="C69" s="60" t="str">
        <x:v>元数据质量</x:v>
      </x:c>
      <x:c r="D69" s="60" t="str">
        <x:v>建立字段级和任务级血缘</x:v>
      </x:c>
      <x:c r="E69" s="81" t="n">
        <x:v>46298</x:v>
      </x:c>
      <x:c r="F69" s="81" t="n">
        <x:v>46302</x:v>
      </x:c>
      <x:c r="G69" s="60" t="n">
        <x:v>5</x:v>
      </x:c>
      <x:c r="H69" s="60" t="str"/>
      <x:c r="I69" s="60" t="str">
        <x:v>资产与质量组</x:v>
      </x:c>
      <x:c r="J69" s="60" t="str">
        <x:v>工作流负责人</x:v>
      </x:c>
      <x:c r="K69" s="60" t="str">
        <x:v>相关业务科室/厂商</x:v>
      </x:c>
      <x:c r="L69" s="60" t="str">
        <x:v>经评审的建立字段级和任务级血缘交付物</x:v>
      </x:c>
      <x:c r="M69" s="60" t="str">
        <x:v>内容完整、可执行、与总体模型和标准一致</x:v>
      </x:c>
      <x:c r="N69" s="60" t="str">
        <x:v>未开始</x:v>
      </x:c>
      <x:c r="O69" s="85" t="n">
        <x:v>0</x:v>
      </x:c>
      <x:c r="P69" s="60" t="str">
        <x:v>P0</x:v>
      </x:c>
      <x:c r="Q69" s="60" t="str"/>
      <x:c r="R69" s="64" t="n">
        <x:f>IF(OR(N69="已完成",N69="不适用"),0,MAX(0,TODAY()-F69))</x:f>
        <x:v>0</x:v>
      </x:c>
    </x:row>
    <x:row r="70">
      <x:c r="A70" s="63" t="str">
        <x:v>P1.5.4.1</x:v>
      </x:c>
      <x:c r="B70" s="60" t="str">
        <x:v>P1</x:v>
      </x:c>
      <x:c r="C70" s="60" t="str">
        <x:v>元数据质量</x:v>
      </x:c>
      <x:c r="D70" s="60" t="str">
        <x:v>关键资产数据剖析</x:v>
      </x:c>
      <x:c r="E70" s="81" t="n">
        <x:v>46305</x:v>
      </x:c>
      <x:c r="F70" s="81" t="n">
        <x:v>46309</x:v>
      </x:c>
      <x:c r="G70" s="60" t="n">
        <x:v>5</x:v>
      </x:c>
      <x:c r="H70" s="60" t="str"/>
      <x:c r="I70" s="60" t="str">
        <x:v>资产与质量组</x:v>
      </x:c>
      <x:c r="J70" s="60" t="str">
        <x:v>工作流负责人</x:v>
      </x:c>
      <x:c r="K70" s="60" t="str">
        <x:v>相关业务科室/厂商</x:v>
      </x:c>
      <x:c r="L70" s="60" t="str">
        <x:v>经评审的关键资产数据剖析交付物</x:v>
      </x:c>
      <x:c r="M70" s="60" t="str">
        <x:v>内容完整、可执行、与总体模型和标准一致</x:v>
      </x:c>
      <x:c r="N70" s="60" t="str">
        <x:v>未开始</x:v>
      </x:c>
      <x:c r="O70" s="85" t="n">
        <x:v>0</x:v>
      </x:c>
      <x:c r="P70" s="60" t="str">
        <x:v>P0</x:v>
      </x:c>
      <x:c r="Q70" s="60" t="str"/>
      <x:c r="R70" s="64" t="n">
        <x:f>IF(OR(N70="已完成",N70="不适用"),0,MAX(0,TODAY()-F70))</x:f>
        <x:v>0</x:v>
      </x:c>
    </x:row>
    <x:row r="71">
      <x:c r="A71" s="63" t="str">
        <x:v>P1.5.5.1</x:v>
      </x:c>
      <x:c r="B71" s="60" t="str">
        <x:v>P1</x:v>
      </x:c>
      <x:c r="C71" s="60" t="str">
        <x:v>元数据质量</x:v>
      </x:c>
      <x:c r="D71" s="60" t="str">
        <x:v>定义六维质量规则模板阈值</x:v>
      </x:c>
      <x:c r="E71" s="81" t="n">
        <x:v>46312</x:v>
      </x:c>
      <x:c r="F71" s="81" t="n">
        <x:v>46316</x:v>
      </x:c>
      <x:c r="G71" s="60" t="n">
        <x:v>5</x:v>
      </x:c>
      <x:c r="H71" s="60" t="str"/>
      <x:c r="I71" s="60" t="str">
        <x:v>资产与质量组</x:v>
      </x:c>
      <x:c r="J71" s="60" t="str">
        <x:v>工作流负责人</x:v>
      </x:c>
      <x:c r="K71" s="60" t="str">
        <x:v>相关业务科室/厂商</x:v>
      </x:c>
      <x:c r="L71" s="60" t="str">
        <x:v>经评审的定义六维质量规则模板阈值交付物</x:v>
      </x:c>
      <x:c r="M71" s="60" t="str">
        <x:v>内容完整、可执行、与总体模型和标准一致</x:v>
      </x:c>
      <x:c r="N71" s="60" t="str">
        <x:v>未开始</x:v>
      </x:c>
      <x:c r="O71" s="85" t="n">
        <x:v>0</x:v>
      </x:c>
      <x:c r="P71" s="60" t="str">
        <x:v>P0</x:v>
      </x:c>
      <x:c r="Q71" s="60" t="str"/>
      <x:c r="R71" s="64" t="n">
        <x:f>IF(OR(N71="已完成",N71="不适用"),0,MAX(0,TODAY()-F71))</x:f>
        <x:v>0</x:v>
      </x:c>
    </x:row>
    <x:row r="72">
      <x:c r="A72" s="63" t="str">
        <x:v>P1.5.6.1</x:v>
      </x:c>
      <x:c r="B72" s="60" t="str">
        <x:v>P1</x:v>
      </x:c>
      <x:c r="C72" s="60" t="str">
        <x:v>元数据质量</x:v>
      </x:c>
      <x:c r="D72" s="60" t="str">
        <x:v>P0质量规则上线</x:v>
      </x:c>
      <x:c r="E72" s="81" t="n">
        <x:v>46319</x:v>
      </x:c>
      <x:c r="F72" s="81" t="n">
        <x:v>46323</x:v>
      </x:c>
      <x:c r="G72" s="60" t="n">
        <x:v>5</x:v>
      </x:c>
      <x:c r="H72" s="60" t="str"/>
      <x:c r="I72" s="60" t="str">
        <x:v>资产与质量组</x:v>
      </x:c>
      <x:c r="J72" s="60" t="str">
        <x:v>工作流负责人</x:v>
      </x:c>
      <x:c r="K72" s="60" t="str">
        <x:v>相关业务科室/厂商</x:v>
      </x:c>
      <x:c r="L72" s="60" t="str">
        <x:v>经评审的P0质量规则上线交付物</x:v>
      </x:c>
      <x:c r="M72" s="60" t="str">
        <x:v>内容完整、可执行、与总体模型和标准一致</x:v>
      </x:c>
      <x:c r="N72" s="60" t="str">
        <x:v>未开始</x:v>
      </x:c>
      <x:c r="O72" s="85" t="n">
        <x:v>0</x:v>
      </x:c>
      <x:c r="P72" s="60" t="str">
        <x:v>P0</x:v>
      </x:c>
      <x:c r="Q72" s="60" t="str"/>
      <x:c r="R72" s="64" t="n">
        <x:f>IF(OR(N72="已完成",N72="不适用"),0,MAX(0,TODAY()-F72))</x:f>
        <x:v>0</x:v>
      </x:c>
    </x:row>
    <x:row r="73">
      <x:c r="A73" s="63" t="str">
        <x:v>P1.5.7.1</x:v>
      </x:c>
      <x:c r="B73" s="60" t="str">
        <x:v>P1</x:v>
      </x:c>
      <x:c r="C73" s="60" t="str">
        <x:v>元数据质量</x:v>
      </x:c>
      <x:c r="D73" s="60" t="str">
        <x:v>建设问题工单SLA根因复测</x:v>
      </x:c>
      <x:c r="E73" s="81" t="n">
        <x:v>46326</x:v>
      </x:c>
      <x:c r="F73" s="81" t="n">
        <x:v>46330</x:v>
      </x:c>
      <x:c r="G73" s="60" t="n">
        <x:v>5</x:v>
      </x:c>
      <x:c r="H73" s="60" t="str"/>
      <x:c r="I73" s="60" t="str">
        <x:v>资产与质量组</x:v>
      </x:c>
      <x:c r="J73" s="60" t="str">
        <x:v>工作流负责人</x:v>
      </x:c>
      <x:c r="K73" s="60" t="str">
        <x:v>相关业务科室/厂商</x:v>
      </x:c>
      <x:c r="L73" s="60" t="str">
        <x:v>经评审的建设问题工单SLA根因复测交付物</x:v>
      </x:c>
      <x:c r="M73" s="60" t="str">
        <x:v>内容完整、可执行、与总体模型和标准一致</x:v>
      </x:c>
      <x:c r="N73" s="60" t="str">
        <x:v>未开始</x:v>
      </x:c>
      <x:c r="O73" s="85" t="n">
        <x:v>0</x:v>
      </x:c>
      <x:c r="P73" s="60" t="str">
        <x:v>P0</x:v>
      </x:c>
      <x:c r="Q73" s="60" t="str"/>
      <x:c r="R73" s="64" t="n">
        <x:f>IF(OR(N73="已完成",N73="不适用"),0,MAX(0,TODAY()-F73))</x:f>
        <x:v>0</x:v>
      </x:c>
    </x:row>
    <x:row r="74">
      <x:c r="A74" s="63" t="str">
        <x:v>P1.5.8.1</x:v>
      </x:c>
      <x:c r="B74" s="60" t="str">
        <x:v>P1</x:v>
      </x:c>
      <x:c r="C74" s="60" t="str">
        <x:v>元数据质量</x:v>
      </x:c>
      <x:c r="D74" s="60" t="str">
        <x:v>质量门禁接入主数据接口文档发布</x:v>
      </x:c>
      <x:c r="E74" s="81" t="n">
        <x:v>46333</x:v>
      </x:c>
      <x:c r="F74" s="81" t="n">
        <x:v>46337</x:v>
      </x:c>
      <x:c r="G74" s="60" t="n">
        <x:v>5</x:v>
      </x:c>
      <x:c r="H74" s="60" t="str"/>
      <x:c r="I74" s="60" t="str">
        <x:v>资产与质量组</x:v>
      </x:c>
      <x:c r="J74" s="60" t="str">
        <x:v>工作流负责人</x:v>
      </x:c>
      <x:c r="K74" s="60" t="str">
        <x:v>相关业务科室/厂商</x:v>
      </x:c>
      <x:c r="L74" s="60" t="str">
        <x:v>经评审的质量门禁接入主数据接口文档发布交付物</x:v>
      </x:c>
      <x:c r="M74" s="60" t="str">
        <x:v>内容完整、可执行、与总体模型和标准一致</x:v>
      </x:c>
      <x:c r="N74" s="60" t="str">
        <x:v>未开始</x:v>
      </x:c>
      <x:c r="O74" s="85" t="n">
        <x:v>0</x:v>
      </x:c>
      <x:c r="P74" s="60" t="str">
        <x:v>P0</x:v>
      </x:c>
      <x:c r="Q74" s="60" t="str"/>
      <x:c r="R74" s="64" t="n">
        <x:f>IF(OR(N74="已完成",N74="不适用"),0,MAX(0,TODAY()-F74))</x:f>
        <x:v>0</x:v>
      </x:c>
    </x:row>
    <x:row r="75">
      <x:c r="A75" s="63" t="str">
        <x:v>P1.5.9.1</x:v>
      </x:c>
      <x:c r="B75" s="60" t="str">
        <x:v>P1</x:v>
      </x:c>
      <x:c r="C75" s="60" t="str">
        <x:v>元数据质量</x:v>
      </x:c>
      <x:c r="D75" s="60" t="str">
        <x:v>质量评分趋势部门绩效看板</x:v>
      </x:c>
      <x:c r="E75" s="81" t="n">
        <x:v>46340</x:v>
      </x:c>
      <x:c r="F75" s="81" t="n">
        <x:v>46344</x:v>
      </x:c>
      <x:c r="G75" s="60" t="n">
        <x:v>5</x:v>
      </x:c>
      <x:c r="H75" s="60" t="str"/>
      <x:c r="I75" s="60" t="str">
        <x:v>资产与质量组</x:v>
      </x:c>
      <x:c r="J75" s="60" t="str">
        <x:v>工作流负责人</x:v>
      </x:c>
      <x:c r="K75" s="60" t="str">
        <x:v>相关业务科室/厂商</x:v>
      </x:c>
      <x:c r="L75" s="60" t="str">
        <x:v>经评审的质量评分趋势部门绩效看板交付物</x:v>
      </x:c>
      <x:c r="M75" s="60" t="str">
        <x:v>内容完整、可执行、与总体模型和标准一致</x:v>
      </x:c>
      <x:c r="N75" s="60" t="str">
        <x:v>未开始</x:v>
      </x:c>
      <x:c r="O75" s="85" t="n">
        <x:v>0</x:v>
      </x:c>
      <x:c r="P75" s="60" t="str">
        <x:v>P0</x:v>
      </x:c>
      <x:c r="Q75" s="60" t="str"/>
      <x:c r="R75" s="64" t="n">
        <x:f>IF(OR(N75="已完成",N75="不适用"),0,MAX(0,TODAY()-F75))</x:f>
        <x:v>0</x:v>
      </x:c>
    </x:row>
    <x:row r="76">
      <x:c r="A76" s="63" t="str">
        <x:v>P1.5.10.1</x:v>
      </x:c>
      <x:c r="B76" s="60" t="str">
        <x:v>P1</x:v>
      </x:c>
      <x:c r="C76" s="60" t="str">
        <x:v>元数据质量</x:v>
      </x:c>
      <x:c r="D76" s="60" t="str">
        <x:v>月度质量复盘和规则优化</x:v>
      </x:c>
      <x:c r="E76" s="81" t="n">
        <x:v>46347</x:v>
      </x:c>
      <x:c r="F76" s="81" t="n">
        <x:v>46351</x:v>
      </x:c>
      <x:c r="G76" s="60" t="n">
        <x:v>5</x:v>
      </x:c>
      <x:c r="H76" s="60" t="str"/>
      <x:c r="I76" s="60" t="str">
        <x:v>资产与质量组</x:v>
      </x:c>
      <x:c r="J76" s="60" t="str">
        <x:v>工作流负责人</x:v>
      </x:c>
      <x:c r="K76" s="60" t="str">
        <x:v>相关业务科室/厂商</x:v>
      </x:c>
      <x:c r="L76" s="60" t="str">
        <x:v>经评审的月度质量复盘和规则优化交付物</x:v>
      </x:c>
      <x:c r="M76" s="60" t="str">
        <x:v>内容完整、可执行、与总体模型和标准一致</x:v>
      </x:c>
      <x:c r="N76" s="60" t="str">
        <x:v>未开始</x:v>
      </x:c>
      <x:c r="O76" s="85" t="n">
        <x:v>0</x:v>
      </x:c>
      <x:c r="P76" s="60" t="str">
        <x:v>P0</x:v>
      </x:c>
      <x:c r="Q76" s="60" t="str"/>
      <x:c r="R76" s="64" t="n">
        <x:f>IF(OR(N76="已完成",N76="不适用"),0,MAX(0,TODAY()-F76))</x:f>
        <x:v>0</x:v>
      </x:c>
    </x:row>
    <x:row r="77">
      <x:c r="A77" s="63" t="str">
        <x:v>P2.6.1.1</x:v>
      </x:c>
      <x:c r="B77" s="60" t="str">
        <x:v>P2</x:v>
      </x:c>
      <x:c r="C77" s="60" t="str">
        <x:v>数据服务与互操作</x:v>
      </x:c>
      <x:c r="D77" s="60" t="str">
        <x:v>定义REST FHIR事件批量服务规范</x:v>
      </x:c>
      <x:c r="E77" s="81" t="n">
        <x:v>46368</x:v>
      </x:c>
      <x:c r="F77" s="81" t="n">
        <x:v>46372</x:v>
      </x:c>
      <x:c r="G77" s="60" t="n">
        <x:v>5</x:v>
      </x:c>
      <x:c r="H77" s="60" t="str"/>
      <x:c r="I77" s="60" t="str">
        <x:v>集成与服务组</x:v>
      </x:c>
      <x:c r="J77" s="60" t="str">
        <x:v>工作流负责人</x:v>
      </x:c>
      <x:c r="K77" s="60" t="str">
        <x:v>相关业务科室/厂商</x:v>
      </x:c>
      <x:c r="L77" s="60" t="str">
        <x:v>经评审的定义REST FHIR事件批量服务规范交付物</x:v>
      </x:c>
      <x:c r="M77" s="60" t="str">
        <x:v>内容完整、可执行、与总体模型和标准一致</x:v>
      </x:c>
      <x:c r="N77" s="60" t="str">
        <x:v>未开始</x:v>
      </x:c>
      <x:c r="O77" s="85" t="n">
        <x:v>0</x:v>
      </x:c>
      <x:c r="P77" s="60" t="str">
        <x:v>P0</x:v>
      </x:c>
      <x:c r="Q77" s="60" t="str"/>
      <x:c r="R77" s="64" t="n">
        <x:f>IF(OR(N77="已完成",N77="不适用"),0,MAX(0,TODAY()-F77))</x:f>
        <x:v>0</x:v>
      </x:c>
    </x:row>
    <x:row r="78">
      <x:c r="A78" s="63" t="str">
        <x:v>P2.6.2.1</x:v>
      </x:c>
      <x:c r="B78" s="60" t="str">
        <x:v>P2</x:v>
      </x:c>
      <x:c r="C78" s="60" t="str">
        <x:v>数据服务与互操作</x:v>
      </x:c>
      <x:c r="D78" s="60" t="str">
        <x:v>建设API网关统一认证限流审计</x:v>
      </x:c>
      <x:c r="E78" s="81" t="n">
        <x:v>46375</x:v>
      </x:c>
      <x:c r="F78" s="81" t="n">
        <x:v>46379</x:v>
      </x:c>
      <x:c r="G78" s="60" t="n">
        <x:v>5</x:v>
      </x:c>
      <x:c r="H78" s="60" t="str"/>
      <x:c r="I78" s="60" t="str">
        <x:v>集成与服务组</x:v>
      </x:c>
      <x:c r="J78" s="60" t="str">
        <x:v>工作流负责人</x:v>
      </x:c>
      <x:c r="K78" s="60" t="str">
        <x:v>相关业务科室/厂商</x:v>
      </x:c>
      <x:c r="L78" s="60" t="str">
        <x:v>经评审的建设API网关统一认证限流审计交付物</x:v>
      </x:c>
      <x:c r="M78" s="60" t="str">
        <x:v>内容完整、可执行、与总体模型和标准一致</x:v>
      </x:c>
      <x:c r="N78" s="60" t="str">
        <x:v>未开始</x:v>
      </x:c>
      <x:c r="O78" s="85" t="n">
        <x:v>0</x:v>
      </x:c>
      <x:c r="P78" s="60" t="str">
        <x:v>P0</x:v>
      </x:c>
      <x:c r="Q78" s="60" t="str"/>
      <x:c r="R78" s="64" t="n">
        <x:f>IF(OR(N78="已完成",N78="不适用"),0,MAX(0,TODAY()-F78))</x:f>
        <x:v>0</x:v>
      </x:c>
    </x:row>
    <x:row r="79">
      <x:c r="A79" s="63" t="str">
        <x:v>P2.6.3.1</x:v>
      </x:c>
      <x:c r="B79" s="60" t="str">
        <x:v>P2</x:v>
      </x:c>
      <x:c r="C79" s="60" t="str">
        <x:v>数据服务与互操作</x:v>
      </x:c>
      <x:c r="D79" s="60" t="str">
        <x:v>实现个人人员机构术语文档服务</x:v>
      </x:c>
      <x:c r="E79" s="81" t="n">
        <x:v>46382</x:v>
      </x:c>
      <x:c r="F79" s="81" t="n">
        <x:v>46386</x:v>
      </x:c>
      <x:c r="G79" s="60" t="n">
        <x:v>5</x:v>
      </x:c>
      <x:c r="H79" s="60" t="str"/>
      <x:c r="I79" s="60" t="str">
        <x:v>集成与服务组</x:v>
      </x:c>
      <x:c r="J79" s="60" t="str">
        <x:v>工作流负责人</x:v>
      </x:c>
      <x:c r="K79" s="60" t="str">
        <x:v>相关业务科室/厂商</x:v>
      </x:c>
      <x:c r="L79" s="60" t="str">
        <x:v>经评审的实现个人人员机构术语文档服务交付物</x:v>
      </x:c>
      <x:c r="M79" s="60" t="str">
        <x:v>内容完整、可执行、与总体模型和标准一致</x:v>
      </x:c>
      <x:c r="N79" s="60" t="str">
        <x:v>未开始</x:v>
      </x:c>
      <x:c r="O79" s="85" t="n">
        <x:v>0</x:v>
      </x:c>
      <x:c r="P79" s="60" t="str">
        <x:v>P0</x:v>
      </x:c>
      <x:c r="Q79" s="60" t="str"/>
      <x:c r="R79" s="64" t="n">
        <x:f>IF(OR(N79="已完成",N79="不适用"),0,MAX(0,TODAY()-F79))</x:f>
        <x:v>0</x:v>
      </x:c>
    </x:row>
    <x:row r="80">
      <x:c r="A80" s="63" t="str">
        <x:v>P2.6.4.1</x:v>
      </x:c>
      <x:c r="B80" s="60" t="str">
        <x:v>P2</x:v>
      </x:c>
      <x:c r="C80" s="60" t="str">
        <x:v>数据服务与互操作</x:v>
      </x:c>
      <x:c r="D80" s="60" t="str">
        <x:v>实现ValueSet展开和ConceptMap翻译</x:v>
      </x:c>
      <x:c r="E80" s="81" t="n">
        <x:v>46389</x:v>
      </x:c>
      <x:c r="F80" s="81" t="n">
        <x:v>46393</x:v>
      </x:c>
      <x:c r="G80" s="60" t="n">
        <x:v>5</x:v>
      </x:c>
      <x:c r="H80" s="60" t="str"/>
      <x:c r="I80" s="60" t="str">
        <x:v>集成与服务组</x:v>
      </x:c>
      <x:c r="J80" s="60" t="str">
        <x:v>工作流负责人</x:v>
      </x:c>
      <x:c r="K80" s="60" t="str">
        <x:v>相关业务科室/厂商</x:v>
      </x:c>
      <x:c r="L80" s="60" t="str">
        <x:v>经评审的实现ValueSet展开和ConceptMap翻译交付物</x:v>
      </x:c>
      <x:c r="M80" s="60" t="str">
        <x:v>内容完整、可执行、与总体模型和标准一致</x:v>
      </x:c>
      <x:c r="N80" s="60" t="str">
        <x:v>未开始</x:v>
      </x:c>
      <x:c r="O80" s="85" t="n">
        <x:v>0</x:v>
      </x:c>
      <x:c r="P80" s="60" t="str">
        <x:v>P0</x:v>
      </x:c>
      <x:c r="Q80" s="60" t="str"/>
      <x:c r="R80" s="64" t="n">
        <x:f>IF(OR(N80="已完成",N80="不适用"),0,MAX(0,TODAY()-F80))</x:f>
        <x:v>0</x:v>
      </x:c>
    </x:row>
    <x:row r="81">
      <x:c r="A81" s="63" t="str">
        <x:v>P2.6.5.1</x:v>
      </x:c>
      <x:c r="B81" s="60" t="str">
        <x:v>P2</x:v>
      </x:c>
      <x:c r="C81" s="60" t="str">
        <x:v>数据服务与互操作</x:v>
      </x:c>
      <x:c r="D81" s="60" t="str">
        <x:v>制定版本幂等错误码分页乐观锁</x:v>
      </x:c>
      <x:c r="E81" s="81" t="n">
        <x:v>46396</x:v>
      </x:c>
      <x:c r="F81" s="81" t="n">
        <x:v>46400</x:v>
      </x:c>
      <x:c r="G81" s="60" t="n">
        <x:v>5</x:v>
      </x:c>
      <x:c r="H81" s="60" t="str"/>
      <x:c r="I81" s="60" t="str">
        <x:v>集成与服务组</x:v>
      </x:c>
      <x:c r="J81" s="60" t="str">
        <x:v>工作流负责人</x:v>
      </x:c>
      <x:c r="K81" s="60" t="str">
        <x:v>相关业务科室/厂商</x:v>
      </x:c>
      <x:c r="L81" s="60" t="str">
        <x:v>经评审的制定版本幂等错误码分页乐观锁交付物</x:v>
      </x:c>
      <x:c r="M81" s="60" t="str">
        <x:v>内容完整、可执行、与总体模型和标准一致</x:v>
      </x:c>
      <x:c r="N81" s="60" t="str">
        <x:v>未开始</x:v>
      </x:c>
      <x:c r="O81" s="85" t="n">
        <x:v>0</x:v>
      </x:c>
      <x:c r="P81" s="60" t="str">
        <x:v>P0</x:v>
      </x:c>
      <x:c r="Q81" s="60" t="str"/>
      <x:c r="R81" s="64" t="n">
        <x:f>IF(OR(N81="已完成",N81="不适用"),0,MAX(0,TODAY()-F81))</x:f>
        <x:v>0</x:v>
      </x:c>
    </x:row>
    <x:row r="82">
      <x:c r="A82" s="63" t="str">
        <x:v>P2.6.6.1</x:v>
      </x:c>
      <x:c r="B82" s="60" t="str">
        <x:v>P2</x:v>
      </x:c>
      <x:c r="C82" s="60" t="str">
        <x:v>数据服务与互操作</x:v>
      </x:c>
      <x:c r="D82" s="60" t="str">
        <x:v>建立订阅联调SLA下线流程</x:v>
      </x:c>
      <x:c r="E82" s="81" t="n">
        <x:v>46403</x:v>
      </x:c>
      <x:c r="F82" s="81" t="n">
        <x:v>46407</x:v>
      </x:c>
      <x:c r="G82" s="60" t="n">
        <x:v>5</x:v>
      </x:c>
      <x:c r="H82" s="60" t="str"/>
      <x:c r="I82" s="60" t="str">
        <x:v>集成与服务组</x:v>
      </x:c>
      <x:c r="J82" s="60" t="str">
        <x:v>工作流负责人</x:v>
      </x:c>
      <x:c r="K82" s="60" t="str">
        <x:v>相关业务科室/厂商</x:v>
      </x:c>
      <x:c r="L82" s="60" t="str">
        <x:v>经评审的建立订阅联调SLA下线流程交付物</x:v>
      </x:c>
      <x:c r="M82" s="60" t="str">
        <x:v>内容完整、可执行、与总体模型和标准一致</x:v>
      </x:c>
      <x:c r="N82" s="60" t="str">
        <x:v>未开始</x:v>
      </x:c>
      <x:c r="O82" s="85" t="n">
        <x:v>0</x:v>
      </x:c>
      <x:c r="P82" s="60" t="str">
        <x:v>P0</x:v>
      </x:c>
      <x:c r="Q82" s="60" t="str"/>
      <x:c r="R82" s="64" t="n">
        <x:f>IF(OR(N82="已完成",N82="不适用"),0,MAX(0,TODAY()-F82))</x:f>
        <x:v>0</x:v>
      </x:c>
    </x:row>
    <x:row r="83">
      <x:c r="A83" s="63" t="str">
        <x:v>P2.6.7.1</x:v>
      </x:c>
      <x:c r="B83" s="60" t="str">
        <x:v>P2</x:v>
      </x:c>
      <x:c r="C83" s="60" t="str">
        <x:v>数据服务与互操作</x:v>
      </x:c>
      <x:c r="D83" s="60" t="str">
        <x:v>上级平台和7家外部机构联调</x:v>
      </x:c>
      <x:c r="E83" s="81" t="n">
        <x:v>46410</x:v>
      </x:c>
      <x:c r="F83" s="81" t="n">
        <x:v>46414</x:v>
      </x:c>
      <x:c r="G83" s="60" t="n">
        <x:v>5</x:v>
      </x:c>
      <x:c r="H83" s="60" t="str"/>
      <x:c r="I83" s="60" t="str">
        <x:v>集成与服务组</x:v>
      </x:c>
      <x:c r="J83" s="60" t="str">
        <x:v>工作流负责人</x:v>
      </x:c>
      <x:c r="K83" s="60" t="str">
        <x:v>相关业务科室/厂商</x:v>
      </x:c>
      <x:c r="L83" s="60" t="str">
        <x:v>经评审的上级平台和7家外部机构联调交付物</x:v>
      </x:c>
      <x:c r="M83" s="60" t="str">
        <x:v>内容完整、可执行、与总体模型和标准一致</x:v>
      </x:c>
      <x:c r="N83" s="60" t="str">
        <x:v>未开始</x:v>
      </x:c>
      <x:c r="O83" s="85" t="n">
        <x:v>0</x:v>
      </x:c>
      <x:c r="P83" s="60" t="str">
        <x:v>P0</x:v>
      </x:c>
      <x:c r="Q83" s="60" t="str"/>
      <x:c r="R83" s="64" t="n">
        <x:f>IF(OR(N83="已完成",N83="不适用"),0,MAX(0,TODAY()-F83))</x:f>
        <x:v>0</x:v>
      </x:c>
    </x:row>
    <x:row r="84">
      <x:c r="A84" s="63" t="str">
        <x:v>P2.6.8.1</x:v>
      </x:c>
      <x:c r="B84" s="60" t="str">
        <x:v>P2</x:v>
      </x:c>
      <x:c r="C84" s="60" t="str">
        <x:v>数据服务与互操作</x:v>
      </x:c>
      <x:c r="D84" s="60" t="str">
        <x:v>服务可用性延迟调用量错误率看板</x:v>
      </x:c>
      <x:c r="E84" s="81" t="n">
        <x:v>46417</x:v>
      </x:c>
      <x:c r="F84" s="81" t="n">
        <x:v>46421</x:v>
      </x:c>
      <x:c r="G84" s="60" t="n">
        <x:v>5</x:v>
      </x:c>
      <x:c r="H84" s="60" t="str"/>
      <x:c r="I84" s="60" t="str">
        <x:v>集成与服务组</x:v>
      </x:c>
      <x:c r="J84" s="60" t="str">
        <x:v>工作流负责人</x:v>
      </x:c>
      <x:c r="K84" s="60" t="str">
        <x:v>相关业务科室/厂商</x:v>
      </x:c>
      <x:c r="L84" s="60" t="str">
        <x:v>经评审的服务可用性延迟调用量错误率看板交付物</x:v>
      </x:c>
      <x:c r="M84" s="60" t="str">
        <x:v>内容完整、可执行、与总体模型和标准一致</x:v>
      </x:c>
      <x:c r="N84" s="60" t="str">
        <x:v>未开始</x:v>
      </x:c>
      <x:c r="O84" s="85" t="n">
        <x:v>0</x:v>
      </x:c>
      <x:c r="P84" s="60" t="str">
        <x:v>P0</x:v>
      </x:c>
      <x:c r="Q84" s="60" t="str"/>
      <x:c r="R84" s="64" t="n">
        <x:f>IF(OR(N84="已完成",N84="不适用"),0,MAX(0,TODAY()-F84))</x:f>
        <x:v>0</x:v>
      </x:c>
    </x:row>
    <x:row r="85">
      <x:c r="A85" s="63" t="str">
        <x:v>P2.6.9.1</x:v>
      </x:c>
      <x:c r="B85" s="60" t="str">
        <x:v>P2</x:v>
      </x:c>
      <x:c r="C85" s="60" t="str">
        <x:v>数据服务与互操作</x:v>
      </x:c>
      <x:c r="D85" s="60" t="str">
        <x:v>接口安全和越权测试</x:v>
      </x:c>
      <x:c r="E85" s="81" t="n">
        <x:v>46424</x:v>
      </x:c>
      <x:c r="F85" s="81" t="n">
        <x:v>46428</x:v>
      </x:c>
      <x:c r="G85" s="60" t="n">
        <x:v>5</x:v>
      </x:c>
      <x:c r="H85" s="60" t="str"/>
      <x:c r="I85" s="60" t="str">
        <x:v>集成与服务组</x:v>
      </x:c>
      <x:c r="J85" s="60" t="str">
        <x:v>工作流负责人</x:v>
      </x:c>
      <x:c r="K85" s="60" t="str">
        <x:v>相关业务科室/厂商</x:v>
      </x:c>
      <x:c r="L85" s="60" t="str">
        <x:v>经评审的接口安全和越权测试交付物</x:v>
      </x:c>
      <x:c r="M85" s="60" t="str">
        <x:v>内容完整、可执行、与总体模型和标准一致</x:v>
      </x:c>
      <x:c r="N85" s="60" t="str">
        <x:v>未开始</x:v>
      </x:c>
      <x:c r="O85" s="85" t="n">
        <x:v>0</x:v>
      </x:c>
      <x:c r="P85" s="60" t="str">
        <x:v>P0</x:v>
      </x:c>
      <x:c r="Q85" s="60" t="str"/>
      <x:c r="R85" s="64" t="n">
        <x:f>IF(OR(N85="已完成",N85="不适用"),0,MAX(0,TODAY()-F85))</x:f>
        <x:v>0</x:v>
      </x:c>
    </x:row>
    <x:row r="86">
      <x:c r="A86" s="63" t="str">
        <x:v>P3.7.1.1</x:v>
      </x:c>
      <x:c r="B86" s="60" t="str">
        <x:v>P3</x:v>
      </x:c>
      <x:c r="C86" s="60" t="str">
        <x:v>闭环与CDSS</x:v>
      </x:c>
      <x:c r="D86" s="60" t="str">
        <x:v>确定危急值标本给药输血检查手术首批闭环</x:v>
      </x:c>
      <x:c r="E86" s="81" t="n">
        <x:v>46494</x:v>
      </x:c>
      <x:c r="F86" s="81" t="n">
        <x:v>46498</x:v>
      </x:c>
      <x:c r="G86" s="60" t="n">
        <x:v>5</x:v>
      </x:c>
      <x:c r="H86" s="60" t="str"/>
      <x:c r="I86" s="60" t="str">
        <x:v>医务/护理/药学</x:v>
      </x:c>
      <x:c r="J86" s="60" t="str">
        <x:v>工作流负责人</x:v>
      </x:c>
      <x:c r="K86" s="60" t="str">
        <x:v>相关业务科室/厂商</x:v>
      </x:c>
      <x:c r="L86" s="60" t="str">
        <x:v>经评审的确定危急值标本给药输血检查手术首批闭环交付物</x:v>
      </x:c>
      <x:c r="M86" s="60" t="str">
        <x:v>内容完整、可执行、与总体模型和标准一致</x:v>
      </x:c>
      <x:c r="N86" s="60" t="str">
        <x:v>未开始</x:v>
      </x:c>
      <x:c r="O86" s="85" t="n">
        <x:v>0</x:v>
      </x:c>
      <x:c r="P86" s="60" t="str">
        <x:v>P0</x:v>
      </x:c>
      <x:c r="Q86" s="60" t="str"/>
      <x:c r="R86" s="64" t="n">
        <x:f>IF(OR(N86="已完成",N86="不适用"),0,MAX(0,TODAY()-F86))</x:f>
        <x:v>0</x:v>
      </x:c>
    </x:row>
    <x:row r="87">
      <x:c r="A87" s="63" t="str">
        <x:v>P3.7.1.2</x:v>
      </x:c>
      <x:c r="B87" s="60" t="str">
        <x:v>P3</x:v>
      </x:c>
      <x:c r="C87" s="60" t="str">
        <x:v>闭环与CDSS</x:v>
      </x:c>
      <x:c r="D87" s="60" t="str">
        <x:v>确定危急值标本给药输血检查手术首批闭环：完成评审并纳入版本基线</x:v>
      </x:c>
      <x:c r="E87" s="81" t="n">
        <x:v>46498</x:v>
      </x:c>
      <x:c r="F87" s="81" t="n">
        <x:v>46500</x:v>
      </x:c>
      <x:c r="G87" s="60" t="n">
        <x:v>3</x:v>
      </x:c>
      <x:c r="H87" s="60" t="str"/>
      <x:c r="I87" s="60" t="str">
        <x:v>医务/护理/药学</x:v>
      </x:c>
      <x:c r="J87" s="60" t="str">
        <x:v>工作流负责人</x:v>
      </x:c>
      <x:c r="K87" s="60" t="str">
        <x:v>相关业务科室/厂商</x:v>
      </x:c>
      <x:c r="L87" s="60" t="str">
        <x:v>评审纪要、问题清单和版本基线</x:v>
      </x:c>
      <x:c r="M87" s="60" t="str">
        <x:v>业务、技术、测试共同签字，证据可追溯</x:v>
      </x:c>
      <x:c r="N87" s="60" t="str">
        <x:v>未开始</x:v>
      </x:c>
      <x:c r="O87" s="85" t="n">
        <x:v>0</x:v>
      </x:c>
      <x:c r="P87" s="60" t="str">
        <x:v>P0</x:v>
      </x:c>
      <x:c r="Q87" s="60" t="str"/>
      <x:c r="R87" s="64" t="n">
        <x:f>IF(OR(N87="已完成",N87="不适用"),0,MAX(0,TODAY()-F87))</x:f>
        <x:v>0</x:v>
      </x:c>
    </x:row>
    <x:row r="88">
      <x:c r="A88" s="63" t="str">
        <x:v>P3.7.2.1</x:v>
      </x:c>
      <x:c r="B88" s="60" t="str">
        <x:v>P3</x:v>
      </x:c>
      <x:c r="C88" s="60" t="str">
        <x:v>闭环与CDSS</x:v>
      </x:c>
      <x:c r="D88" s="60" t="str">
        <x:v>定义状态机节点责任SLA证据</x:v>
      </x:c>
      <x:c r="E88" s="81" t="n">
        <x:v>46501</x:v>
      </x:c>
      <x:c r="F88" s="81" t="n">
        <x:v>46505</x:v>
      </x:c>
      <x:c r="G88" s="60" t="n">
        <x:v>5</x:v>
      </x:c>
      <x:c r="H88" s="60" t="str"/>
      <x:c r="I88" s="60" t="str">
        <x:v>医务/护理/药学</x:v>
      </x:c>
      <x:c r="J88" s="60" t="str">
        <x:v>工作流负责人</x:v>
      </x:c>
      <x:c r="K88" s="60" t="str">
        <x:v>相关业务科室/厂商</x:v>
      </x:c>
      <x:c r="L88" s="60" t="str">
        <x:v>经评审的定义状态机节点责任SLA证据交付物</x:v>
      </x:c>
      <x:c r="M88" s="60" t="str">
        <x:v>内容完整、可执行、与总体模型和标准一致</x:v>
      </x:c>
      <x:c r="N88" s="60" t="str">
        <x:v>未开始</x:v>
      </x:c>
      <x:c r="O88" s="85" t="n">
        <x:v>0</x:v>
      </x:c>
      <x:c r="P88" s="60" t="str">
        <x:v>P0</x:v>
      </x:c>
      <x:c r="Q88" s="60" t="str"/>
      <x:c r="R88" s="64" t="n">
        <x:f>IF(OR(N88="已完成",N88="不适用"),0,MAX(0,TODAY()-F88))</x:f>
        <x:v>0</x:v>
      </x:c>
    </x:row>
    <x:row r="89">
      <x:c r="A89" s="63" t="str">
        <x:v>P3.7.2.2</x:v>
      </x:c>
      <x:c r="B89" s="60" t="str">
        <x:v>P3</x:v>
      </x:c>
      <x:c r="C89" s="60" t="str">
        <x:v>闭环与CDSS</x:v>
      </x:c>
      <x:c r="D89" s="60" t="str">
        <x:v>定义状态机节点责任SLA证据：完成评审并纳入版本基线</x:v>
      </x:c>
      <x:c r="E89" s="81" t="n">
        <x:v>46505</x:v>
      </x:c>
      <x:c r="F89" s="81" t="n">
        <x:v>46507</x:v>
      </x:c>
      <x:c r="G89" s="60" t="n">
        <x:v>3</x:v>
      </x:c>
      <x:c r="H89" s="60" t="str"/>
      <x:c r="I89" s="60" t="str">
        <x:v>医务/护理/药学</x:v>
      </x:c>
      <x:c r="J89" s="60" t="str">
        <x:v>工作流负责人</x:v>
      </x:c>
      <x:c r="K89" s="60" t="str">
        <x:v>相关业务科室/厂商</x:v>
      </x:c>
      <x:c r="L89" s="60" t="str">
        <x:v>评审纪要、问题清单和版本基线</x:v>
      </x:c>
      <x:c r="M89" s="60" t="str">
        <x:v>业务、技术、测试共同签字，证据可追溯</x:v>
      </x:c>
      <x:c r="N89" s="60" t="str">
        <x:v>未开始</x:v>
      </x:c>
      <x:c r="O89" s="85" t="n">
        <x:v>0</x:v>
      </x:c>
      <x:c r="P89" s="60" t="str">
        <x:v>P0</x:v>
      </x:c>
      <x:c r="Q89" s="60" t="str"/>
      <x:c r="R89" s="64" t="n">
        <x:f>IF(OR(N89="已完成",N89="不适用"),0,MAX(0,TODAY()-F89))</x:f>
        <x:v>0</x:v>
      </x:c>
    </x:row>
    <x:row r="90">
      <x:c r="A90" s="63" t="str">
        <x:v>P3.7.3.1</x:v>
      </x:c>
      <x:c r="B90" s="60" t="str">
        <x:v>P3</x:v>
      </x:c>
      <x:c r="C90" s="60" t="str">
        <x:v>闭环与CDSS</x:v>
      </x:c>
      <x:c r="D90" s="60" t="str">
        <x:v>接入事件和超时升级</x:v>
      </x:c>
      <x:c r="E90" s="81" t="n">
        <x:v>46508</x:v>
      </x:c>
      <x:c r="F90" s="81" t="n">
        <x:v>46512</x:v>
      </x:c>
      <x:c r="G90" s="60" t="n">
        <x:v>5</x:v>
      </x:c>
      <x:c r="H90" s="60" t="str"/>
      <x:c r="I90" s="60" t="str">
        <x:v>医务/护理/药学</x:v>
      </x:c>
      <x:c r="J90" s="60" t="str">
        <x:v>工作流负责人</x:v>
      </x:c>
      <x:c r="K90" s="60" t="str">
        <x:v>相关业务科室/厂商</x:v>
      </x:c>
      <x:c r="L90" s="60" t="str">
        <x:v>经评审的接入事件和超时升级交付物</x:v>
      </x:c>
      <x:c r="M90" s="60" t="str">
        <x:v>内容完整、可执行、与总体模型和标准一致</x:v>
      </x:c>
      <x:c r="N90" s="60" t="str">
        <x:v>未开始</x:v>
      </x:c>
      <x:c r="O90" s="85" t="n">
        <x:v>0</x:v>
      </x:c>
      <x:c r="P90" s="60" t="str">
        <x:v>P0</x:v>
      </x:c>
      <x:c r="Q90" s="60" t="str"/>
      <x:c r="R90" s="64" t="n">
        <x:f>IF(OR(N90="已完成",N90="不适用"),0,MAX(0,TODAY()-F90))</x:f>
        <x:v>0</x:v>
      </x:c>
    </x:row>
    <x:row r="91">
      <x:c r="A91" s="63" t="str">
        <x:v>P3.7.3.2</x:v>
      </x:c>
      <x:c r="B91" s="60" t="str">
        <x:v>P3</x:v>
      </x:c>
      <x:c r="C91" s="60" t="str">
        <x:v>闭环与CDSS</x:v>
      </x:c>
      <x:c r="D91" s="60" t="str">
        <x:v>接入事件和超时升级：完成评审并纳入版本基线</x:v>
      </x:c>
      <x:c r="E91" s="81" t="n">
        <x:v>46512</x:v>
      </x:c>
      <x:c r="F91" s="81" t="n">
        <x:v>46514</x:v>
      </x:c>
      <x:c r="G91" s="60" t="n">
        <x:v>3</x:v>
      </x:c>
      <x:c r="H91" s="60" t="str"/>
      <x:c r="I91" s="60" t="str">
        <x:v>医务/护理/药学</x:v>
      </x:c>
      <x:c r="J91" s="60" t="str">
        <x:v>工作流负责人</x:v>
      </x:c>
      <x:c r="K91" s="60" t="str">
        <x:v>相关业务科室/厂商</x:v>
      </x:c>
      <x:c r="L91" s="60" t="str">
        <x:v>评审纪要、问题清单和版本基线</x:v>
      </x:c>
      <x:c r="M91" s="60" t="str">
        <x:v>业务、技术、测试共同签字，证据可追溯</x:v>
      </x:c>
      <x:c r="N91" s="60" t="str">
        <x:v>未开始</x:v>
      </x:c>
      <x:c r="O91" s="85" t="n">
        <x:v>0</x:v>
      </x:c>
      <x:c r="P91" s="60" t="str">
        <x:v>P0</x:v>
      </x:c>
      <x:c r="Q91" s="60" t="str"/>
      <x:c r="R91" s="64" t="n">
        <x:f>IF(OR(N91="已完成",N91="不适用"),0,MAX(0,TODAY()-F91))</x:f>
        <x:v>0</x:v>
      </x:c>
    </x:row>
    <x:row r="92">
      <x:c r="A92" s="63" t="str">
        <x:v>P3.7.4.1</x:v>
      </x:c>
      <x:c r="B92" s="60" t="str">
        <x:v>P3</x:v>
      </x:c>
      <x:c r="C92" s="60" t="str">
        <x:v>闭环与CDSS</x:v>
      </x:c>
      <x:c r="D92" s="60" t="str">
        <x:v>闭环运营看板和异常工单</x:v>
      </x:c>
      <x:c r="E92" s="81" t="n">
        <x:v>46515</x:v>
      </x:c>
      <x:c r="F92" s="81" t="n">
        <x:v>46519</x:v>
      </x:c>
      <x:c r="G92" s="60" t="n">
        <x:v>5</x:v>
      </x:c>
      <x:c r="H92" s="60" t="str"/>
      <x:c r="I92" s="60" t="str">
        <x:v>医务/护理/药学</x:v>
      </x:c>
      <x:c r="J92" s="60" t="str">
        <x:v>工作流负责人</x:v>
      </x:c>
      <x:c r="K92" s="60" t="str">
        <x:v>相关业务科室/厂商</x:v>
      </x:c>
      <x:c r="L92" s="60" t="str">
        <x:v>经评审的闭环运营看板和异常工单交付物</x:v>
      </x:c>
      <x:c r="M92" s="60" t="str">
        <x:v>内容完整、可执行、与总体模型和标准一致</x:v>
      </x:c>
      <x:c r="N92" s="60" t="str">
        <x:v>未开始</x:v>
      </x:c>
      <x:c r="O92" s="85" t="n">
        <x:v>0</x:v>
      </x:c>
      <x:c r="P92" s="60" t="str">
        <x:v>P0</x:v>
      </x:c>
      <x:c r="Q92" s="60" t="str"/>
      <x:c r="R92" s="64" t="n">
        <x:f>IF(OR(N92="已完成",N92="不适用"),0,MAX(0,TODAY()-F92))</x:f>
        <x:v>0</x:v>
      </x:c>
    </x:row>
    <x:row r="93">
      <x:c r="A93" s="63" t="str">
        <x:v>P3.7.4.2</x:v>
      </x:c>
      <x:c r="B93" s="60" t="str">
        <x:v>P3</x:v>
      </x:c>
      <x:c r="C93" s="60" t="str">
        <x:v>闭环与CDSS</x:v>
      </x:c>
      <x:c r="D93" s="60" t="str">
        <x:v>闭环运营看板和异常工单：完成评审并纳入版本基线</x:v>
      </x:c>
      <x:c r="E93" s="81" t="n">
        <x:v>46519</x:v>
      </x:c>
      <x:c r="F93" s="81" t="n">
        <x:v>46521</x:v>
      </x:c>
      <x:c r="G93" s="60" t="n">
        <x:v>3</x:v>
      </x:c>
      <x:c r="H93" s="60" t="str"/>
      <x:c r="I93" s="60" t="str">
        <x:v>医务/护理/药学</x:v>
      </x:c>
      <x:c r="J93" s="60" t="str">
        <x:v>工作流负责人</x:v>
      </x:c>
      <x:c r="K93" s="60" t="str">
        <x:v>相关业务科室/厂商</x:v>
      </x:c>
      <x:c r="L93" s="60" t="str">
        <x:v>评审纪要、问题清单和版本基线</x:v>
      </x:c>
      <x:c r="M93" s="60" t="str">
        <x:v>业务、技术、测试共同签字，证据可追溯</x:v>
      </x:c>
      <x:c r="N93" s="60" t="str">
        <x:v>未开始</x:v>
      </x:c>
      <x:c r="O93" s="85" t="n">
        <x:v>0</x:v>
      </x:c>
      <x:c r="P93" s="60" t="str">
        <x:v>P0</x:v>
      </x:c>
      <x:c r="Q93" s="60" t="str"/>
      <x:c r="R93" s="64" t="n">
        <x:f>IF(OR(N93="已完成",N93="不适用"),0,MAX(0,TODAY()-F93))</x:f>
        <x:v>0</x:v>
      </x:c>
    </x:row>
    <x:row r="94">
      <x:c r="A94" s="63" t="str">
        <x:v>P3.7.5.1</x:v>
      </x:c>
      <x:c r="B94" s="60" t="str">
        <x:v>P3</x:v>
      </x:c>
      <x:c r="C94" s="60" t="str">
        <x:v>闭环与CDSS</x:v>
      </x:c>
      <x:c r="D94" s="60" t="str">
        <x:v>建立知识库分类规则版本测试</x:v>
      </x:c>
      <x:c r="E94" s="81" t="n">
        <x:v>46522</x:v>
      </x:c>
      <x:c r="F94" s="81" t="n">
        <x:v>46526</x:v>
      </x:c>
      <x:c r="G94" s="60" t="n">
        <x:v>5</x:v>
      </x:c>
      <x:c r="H94" s="60" t="str"/>
      <x:c r="I94" s="60" t="str">
        <x:v>医务/护理/药学</x:v>
      </x:c>
      <x:c r="J94" s="60" t="str">
        <x:v>工作流负责人</x:v>
      </x:c>
      <x:c r="K94" s="60" t="str">
        <x:v>相关业务科室/厂商</x:v>
      </x:c>
      <x:c r="L94" s="60" t="str">
        <x:v>经评审的建立知识库分类规则版本测试交付物</x:v>
      </x:c>
      <x:c r="M94" s="60" t="str">
        <x:v>内容完整、可执行、与总体模型和标准一致</x:v>
      </x:c>
      <x:c r="N94" s="60" t="str">
        <x:v>未开始</x:v>
      </x:c>
      <x:c r="O94" s="85" t="n">
        <x:v>0</x:v>
      </x:c>
      <x:c r="P94" s="60" t="str">
        <x:v>P0</x:v>
      </x:c>
      <x:c r="Q94" s="60" t="str"/>
      <x:c r="R94" s="64" t="n">
        <x:f>IF(OR(N94="已完成",N94="不适用"),0,MAX(0,TODAY()-F94))</x:f>
        <x:v>0</x:v>
      </x:c>
    </x:row>
    <x:row r="95">
      <x:c r="A95" s="63" t="str">
        <x:v>P3.7.5.2</x:v>
      </x:c>
      <x:c r="B95" s="60" t="str">
        <x:v>P3</x:v>
      </x:c>
      <x:c r="C95" s="60" t="str">
        <x:v>闭环与CDSS</x:v>
      </x:c>
      <x:c r="D95" s="60" t="str">
        <x:v>建立知识库分类规则版本测试：完成评审并纳入版本基线</x:v>
      </x:c>
      <x:c r="E95" s="81" t="n">
        <x:v>46526</x:v>
      </x:c>
      <x:c r="F95" s="81" t="n">
        <x:v>46528</x:v>
      </x:c>
      <x:c r="G95" s="60" t="n">
        <x:v>3</x:v>
      </x:c>
      <x:c r="H95" s="60" t="str"/>
      <x:c r="I95" s="60" t="str">
        <x:v>医务/护理/药学</x:v>
      </x:c>
      <x:c r="J95" s="60" t="str">
        <x:v>工作流负责人</x:v>
      </x:c>
      <x:c r="K95" s="60" t="str">
        <x:v>相关业务科室/厂商</x:v>
      </x:c>
      <x:c r="L95" s="60" t="str">
        <x:v>评审纪要、问题清单和版本基线</x:v>
      </x:c>
      <x:c r="M95" s="60" t="str">
        <x:v>业务、技术、测试共同签字，证据可追溯</x:v>
      </x:c>
      <x:c r="N95" s="60" t="str">
        <x:v>未开始</x:v>
      </x:c>
      <x:c r="O95" s="85" t="n">
        <x:v>0</x:v>
      </x:c>
      <x:c r="P95" s="60" t="str">
        <x:v>P0</x:v>
      </x:c>
      <x:c r="Q95" s="60" t="str"/>
      <x:c r="R95" s="64" t="n">
        <x:f>IF(OR(N95="已完成",N95="不适用"),0,MAX(0,TODAY()-F95))</x:f>
        <x:v>0</x:v>
      </x:c>
    </x:row>
    <x:row r="96">
      <x:c r="A96" s="63" t="str">
        <x:v>P3.7.6.1</x:v>
      </x:c>
      <x:c r="B96" s="60" t="str">
        <x:v>P3</x:v>
      </x:c>
      <x:c r="C96" s="60" t="str">
        <x:v>闭环与CDSS</x:v>
      </x:c>
      <x:c r="D96" s="60" t="str">
        <x:v>上线4类知识库</x:v>
      </x:c>
      <x:c r="E96" s="81" t="n">
        <x:v>46529</x:v>
      </x:c>
      <x:c r="F96" s="81" t="n">
        <x:v>46533</x:v>
      </x:c>
      <x:c r="G96" s="60" t="n">
        <x:v>5</x:v>
      </x:c>
      <x:c r="H96" s="60" t="str"/>
      <x:c r="I96" s="60" t="str">
        <x:v>医务/护理/药学</x:v>
      </x:c>
      <x:c r="J96" s="60" t="str">
        <x:v>工作流负责人</x:v>
      </x:c>
      <x:c r="K96" s="60" t="str">
        <x:v>相关业务科室/厂商</x:v>
      </x:c>
      <x:c r="L96" s="60" t="str">
        <x:v>经评审的上线4类知识库交付物</x:v>
      </x:c>
      <x:c r="M96" s="60" t="str">
        <x:v>内容完整、可执行、与总体模型和标准一致</x:v>
      </x:c>
      <x:c r="N96" s="60" t="str">
        <x:v>未开始</x:v>
      </x:c>
      <x:c r="O96" s="85" t="n">
        <x:v>0</x:v>
      </x:c>
      <x:c r="P96" s="60" t="str">
        <x:v>P0</x:v>
      </x:c>
      <x:c r="Q96" s="60" t="str"/>
      <x:c r="R96" s="64" t="n">
        <x:f>IF(OR(N96="已完成",N96="不适用"),0,MAX(0,TODAY()-F96))</x:f>
        <x:v>0</x:v>
      </x:c>
    </x:row>
    <x:row r="97">
      <x:c r="A97" s="63" t="str">
        <x:v>P3.7.6.2</x:v>
      </x:c>
      <x:c r="B97" s="60" t="str">
        <x:v>P3</x:v>
      </x:c>
      <x:c r="C97" s="60" t="str">
        <x:v>闭环与CDSS</x:v>
      </x:c>
      <x:c r="D97" s="60" t="str">
        <x:v>上线4类知识库：完成评审并纳入版本基线</x:v>
      </x:c>
      <x:c r="E97" s="81" t="n">
        <x:v>46533</x:v>
      </x:c>
      <x:c r="F97" s="81" t="n">
        <x:v>46535</x:v>
      </x:c>
      <x:c r="G97" s="60" t="n">
        <x:v>3</x:v>
      </x:c>
      <x:c r="H97" s="60" t="str"/>
      <x:c r="I97" s="60" t="str">
        <x:v>医务/护理/药学</x:v>
      </x:c>
      <x:c r="J97" s="60" t="str">
        <x:v>工作流负责人</x:v>
      </x:c>
      <x:c r="K97" s="60" t="str">
        <x:v>相关业务科室/厂商</x:v>
      </x:c>
      <x:c r="L97" s="60" t="str">
        <x:v>评审纪要、问题清单和版本基线</x:v>
      </x:c>
      <x:c r="M97" s="60" t="str">
        <x:v>业务、技术、测试共同签字，证据可追溯</x:v>
      </x:c>
      <x:c r="N97" s="60" t="str">
        <x:v>未开始</x:v>
      </x:c>
      <x:c r="O97" s="85" t="n">
        <x:v>0</x:v>
      </x:c>
      <x:c r="P97" s="60" t="str">
        <x:v>P0</x:v>
      </x:c>
      <x:c r="Q97" s="60" t="str"/>
      <x:c r="R97" s="64" t="n">
        <x:f>IF(OR(N97="已完成",N97="不适用"),0,MAX(0,TODAY()-F97))</x:f>
        <x:v>0</x:v>
      </x:c>
    </x:row>
    <x:row r="98">
      <x:c r="A98" s="63" t="str">
        <x:v>P3.7.7.1</x:v>
      </x:c>
      <x:c r="B98" s="60" t="str">
        <x:v>P3</x:v>
      </x:c>
      <x:c r="C98" s="60" t="str">
        <x:v>闭环与CDSS</x:v>
      </x:c>
      <x:c r="D98" s="60" t="str">
        <x:v>上线2类CDSS和30预警节点</x:v>
      </x:c>
      <x:c r="E98" s="81" t="n">
        <x:v>46536</x:v>
      </x:c>
      <x:c r="F98" s="81" t="n">
        <x:v>46540</x:v>
      </x:c>
      <x:c r="G98" s="60" t="n">
        <x:v>5</x:v>
      </x:c>
      <x:c r="H98" s="60" t="str"/>
      <x:c r="I98" s="60" t="str">
        <x:v>医务/护理/药学</x:v>
      </x:c>
      <x:c r="J98" s="60" t="str">
        <x:v>工作流负责人</x:v>
      </x:c>
      <x:c r="K98" s="60" t="str">
        <x:v>相关业务科室/厂商</x:v>
      </x:c>
      <x:c r="L98" s="60" t="str">
        <x:v>经评审的上线2类CDSS和30预警节点交付物</x:v>
      </x:c>
      <x:c r="M98" s="60" t="str">
        <x:v>内容完整、可执行、与总体模型和标准一致</x:v>
      </x:c>
      <x:c r="N98" s="60" t="str">
        <x:v>未开始</x:v>
      </x:c>
      <x:c r="O98" s="85" t="n">
        <x:v>0</x:v>
      </x:c>
      <x:c r="P98" s="60" t="str">
        <x:v>P0</x:v>
      </x:c>
      <x:c r="Q98" s="60" t="str"/>
      <x:c r="R98" s="64" t="n">
        <x:f>IF(OR(N98="已完成",N98="不适用"),0,MAX(0,TODAY()-F98))</x:f>
        <x:v>0</x:v>
      </x:c>
    </x:row>
    <x:row r="99">
      <x:c r="A99" s="63" t="str">
        <x:v>P3.7.7.2</x:v>
      </x:c>
      <x:c r="B99" s="60" t="str">
        <x:v>P3</x:v>
      </x:c>
      <x:c r="C99" s="60" t="str">
        <x:v>闭环与CDSS</x:v>
      </x:c>
      <x:c r="D99" s="60" t="str">
        <x:v>上线2类CDSS和30预警节点：完成评审并纳入版本基线</x:v>
      </x:c>
      <x:c r="E99" s="81" t="n">
        <x:v>46540</x:v>
      </x:c>
      <x:c r="F99" s="81" t="n">
        <x:v>46542</x:v>
      </x:c>
      <x:c r="G99" s="60" t="n">
        <x:v>3</x:v>
      </x:c>
      <x:c r="H99" s="60" t="str"/>
      <x:c r="I99" s="60" t="str">
        <x:v>医务/护理/药学</x:v>
      </x:c>
      <x:c r="J99" s="60" t="str">
        <x:v>工作流负责人</x:v>
      </x:c>
      <x:c r="K99" s="60" t="str">
        <x:v>相关业务科室/厂商</x:v>
      </x:c>
      <x:c r="L99" s="60" t="str">
        <x:v>评审纪要、问题清单和版本基线</x:v>
      </x:c>
      <x:c r="M99" s="60" t="str">
        <x:v>业务、技术、测试共同签字，证据可追溯</x:v>
      </x:c>
      <x:c r="N99" s="60" t="str">
        <x:v>未开始</x:v>
      </x:c>
      <x:c r="O99" s="85" t="n">
        <x:v>0</x:v>
      </x:c>
      <x:c r="P99" s="60" t="str">
        <x:v>P0</x:v>
      </x:c>
      <x:c r="Q99" s="60" t="str"/>
      <x:c r="R99" s="64" t="n">
        <x:f>IF(OR(N99="已完成",N99="不适用"),0,MAX(0,TODAY()-F99))</x:f>
        <x:v>0</x:v>
      </x:c>
    </x:row>
    <x:row r="100">
      <x:c r="A100" s="63" t="str">
        <x:v>P3.7.8.1</x:v>
      </x:c>
      <x:c r="B100" s="60" t="str">
        <x:v>P3</x:v>
      </x:c>
      <x:c r="C100" s="60" t="str">
        <x:v>闭环与CDSS</x:v>
      </x:c>
      <x:c r="D100" s="60" t="str">
        <x:v>规则仿真灰度采纳反馈效果</x:v>
      </x:c>
      <x:c r="E100" s="81" t="n">
        <x:v>46543</x:v>
      </x:c>
      <x:c r="F100" s="81" t="n">
        <x:v>46547</x:v>
      </x:c>
      <x:c r="G100" s="60" t="n">
        <x:v>5</x:v>
      </x:c>
      <x:c r="H100" s="60" t="str"/>
      <x:c r="I100" s="60" t="str">
        <x:v>医务/护理/药学</x:v>
      </x:c>
      <x:c r="J100" s="60" t="str">
        <x:v>工作流负责人</x:v>
      </x:c>
      <x:c r="K100" s="60" t="str">
        <x:v>相关业务科室/厂商</x:v>
      </x:c>
      <x:c r="L100" s="60" t="str">
        <x:v>经评审的规则仿真灰度采纳反馈效果交付物</x:v>
      </x:c>
      <x:c r="M100" s="60" t="str">
        <x:v>内容完整、可执行、与总体模型和标准一致</x:v>
      </x:c>
      <x:c r="N100" s="60" t="str">
        <x:v>未开始</x:v>
      </x:c>
      <x:c r="O100" s="85" t="n">
        <x:v>0</x:v>
      </x:c>
      <x:c r="P100" s="60" t="str">
        <x:v>P0</x:v>
      </x:c>
      <x:c r="Q100" s="60" t="str"/>
      <x:c r="R100" s="64" t="n">
        <x:f>IF(OR(N100="已完成",N100="不适用"),0,MAX(0,TODAY()-F100))</x:f>
        <x:v>0</x:v>
      </x:c>
    </x:row>
    <x:row r="101">
      <x:c r="A101" s="63" t="str">
        <x:v>P3.7.8.2</x:v>
      </x:c>
      <x:c r="B101" s="60" t="str">
        <x:v>P3</x:v>
      </x:c>
      <x:c r="C101" s="60" t="str">
        <x:v>闭环与CDSS</x:v>
      </x:c>
      <x:c r="D101" s="60" t="str">
        <x:v>规则仿真灰度采纳反馈效果：完成评审并纳入版本基线</x:v>
      </x:c>
      <x:c r="E101" s="81" t="n">
        <x:v>46547</x:v>
      </x:c>
      <x:c r="F101" s="81" t="n">
        <x:v>46549</x:v>
      </x:c>
      <x:c r="G101" s="60" t="n">
        <x:v>3</x:v>
      </x:c>
      <x:c r="H101" s="60" t="str"/>
      <x:c r="I101" s="60" t="str">
        <x:v>医务/护理/药学</x:v>
      </x:c>
      <x:c r="J101" s="60" t="str">
        <x:v>工作流负责人</x:v>
      </x:c>
      <x:c r="K101" s="60" t="str">
        <x:v>相关业务科室/厂商</x:v>
      </x:c>
      <x:c r="L101" s="60" t="str">
        <x:v>评审纪要、问题清单和版本基线</x:v>
      </x:c>
      <x:c r="M101" s="60" t="str">
        <x:v>业务、技术、测试共同签字，证据可追溯</x:v>
      </x:c>
      <x:c r="N101" s="60" t="str">
        <x:v>未开始</x:v>
      </x:c>
      <x:c r="O101" s="85" t="n">
        <x:v>0</x:v>
      </x:c>
      <x:c r="P101" s="60" t="str">
        <x:v>P0</x:v>
      </x:c>
      <x:c r="Q101" s="60" t="str"/>
      <x:c r="R101" s="64" t="n">
        <x:f>IF(OR(N101="已完成",N101="不适用"),0,MAX(0,TODAY()-F101))</x:f>
        <x:v>0</x:v>
      </x:c>
    </x:row>
    <x:row r="102">
      <x:c r="A102" s="63" t="str">
        <x:v>P3.7.9.1</x:v>
      </x:c>
      <x:c r="B102" s="60" t="str">
        <x:v>P3</x:v>
      </x:c>
      <x:c r="C102" s="60" t="str">
        <x:v>闭环与CDSS</x:v>
      </x:c>
      <x:c r="D102" s="60" t="str">
        <x:v>扩展消毒供应耗材路径VTE</x:v>
      </x:c>
      <x:c r="E102" s="81" t="n">
        <x:v>46550</x:v>
      </x:c>
      <x:c r="F102" s="81" t="n">
        <x:v>46554</x:v>
      </x:c>
      <x:c r="G102" s="60" t="n">
        <x:v>5</x:v>
      </x:c>
      <x:c r="H102" s="60" t="str"/>
      <x:c r="I102" s="60" t="str">
        <x:v>医务/护理/药学</x:v>
      </x:c>
      <x:c r="J102" s="60" t="str">
        <x:v>工作流负责人</x:v>
      </x:c>
      <x:c r="K102" s="60" t="str">
        <x:v>相关业务科室/厂商</x:v>
      </x:c>
      <x:c r="L102" s="60" t="str">
        <x:v>经评审的扩展消毒供应耗材路径VTE交付物</x:v>
      </x:c>
      <x:c r="M102" s="60" t="str">
        <x:v>内容完整、可执行、与总体模型和标准一致</x:v>
      </x:c>
      <x:c r="N102" s="60" t="str">
        <x:v>未开始</x:v>
      </x:c>
      <x:c r="O102" s="85" t="n">
        <x:v>0</x:v>
      </x:c>
      <x:c r="P102" s="60" t="str">
        <x:v>P0</x:v>
      </x:c>
      <x:c r="Q102" s="60" t="str"/>
      <x:c r="R102" s="64" t="n">
        <x:f>IF(OR(N102="已完成",N102="不适用"),0,MAX(0,TODAY()-F102))</x:f>
        <x:v>0</x:v>
      </x:c>
    </x:row>
    <x:row r="103">
      <x:c r="A103" s="63" t="str">
        <x:v>P3.7.9.2</x:v>
      </x:c>
      <x:c r="B103" s="60" t="str">
        <x:v>P3</x:v>
      </x:c>
      <x:c r="C103" s="60" t="str">
        <x:v>闭环与CDSS</x:v>
      </x:c>
      <x:c r="D103" s="60" t="str">
        <x:v>扩展消毒供应耗材路径VTE：完成评审并纳入版本基线</x:v>
      </x:c>
      <x:c r="E103" s="81" t="n">
        <x:v>46554</x:v>
      </x:c>
      <x:c r="F103" s="81" t="n">
        <x:v>46556</x:v>
      </x:c>
      <x:c r="G103" s="60" t="n">
        <x:v>3</x:v>
      </x:c>
      <x:c r="H103" s="60" t="str"/>
      <x:c r="I103" s="60" t="str">
        <x:v>医务/护理/药学</x:v>
      </x:c>
      <x:c r="J103" s="60" t="str">
        <x:v>工作流负责人</x:v>
      </x:c>
      <x:c r="K103" s="60" t="str">
        <x:v>相关业务科室/厂商</x:v>
      </x:c>
      <x:c r="L103" s="60" t="str">
        <x:v>评审纪要、问题清单和版本基线</x:v>
      </x:c>
      <x:c r="M103" s="60" t="str">
        <x:v>业务、技术、测试共同签字，证据可追溯</x:v>
      </x:c>
      <x:c r="N103" s="60" t="str">
        <x:v>未开始</x:v>
      </x:c>
      <x:c r="O103" s="85" t="n">
        <x:v>0</x:v>
      </x:c>
      <x:c r="P103" s="60" t="str">
        <x:v>P0</x:v>
      </x:c>
      <x:c r="Q103" s="60" t="str"/>
      <x:c r="R103" s="64" t="n">
        <x:f>IF(OR(N103="已完成",N103="不适用"),0,MAX(0,TODAY()-F103))</x:f>
        <x:v>0</x:v>
      </x:c>
    </x:row>
    <x:row r="104">
      <x:c r="A104" s="63" t="str">
        <x:v>P3.7.10.1</x:v>
      </x:c>
      <x:c r="B104" s="60" t="str">
        <x:v>P3</x:v>
      </x:c>
      <x:c r="C104" s="60" t="str">
        <x:v>闭环与CDSS</x:v>
      </x:c>
      <x:c r="D104" s="60" t="str">
        <x:v>临床安全评审和持续优化</x:v>
      </x:c>
      <x:c r="E104" s="81" t="n">
        <x:v>46557</x:v>
      </x:c>
      <x:c r="F104" s="81" t="n">
        <x:v>46561</x:v>
      </x:c>
      <x:c r="G104" s="60" t="n">
        <x:v>5</x:v>
      </x:c>
      <x:c r="H104" s="60" t="str"/>
      <x:c r="I104" s="60" t="str">
        <x:v>医务/护理/药学</x:v>
      </x:c>
      <x:c r="J104" s="60" t="str">
        <x:v>工作流负责人</x:v>
      </x:c>
      <x:c r="K104" s="60" t="str">
        <x:v>相关业务科室/厂商</x:v>
      </x:c>
      <x:c r="L104" s="60" t="str">
        <x:v>经评审的临床安全评审和持续优化交付物</x:v>
      </x:c>
      <x:c r="M104" s="60" t="str">
        <x:v>内容完整、可执行、与总体模型和标准一致</x:v>
      </x:c>
      <x:c r="N104" s="60" t="str">
        <x:v>未开始</x:v>
      </x:c>
      <x:c r="O104" s="85" t="n">
        <x:v>0</x:v>
      </x:c>
      <x:c r="P104" s="60" t="str">
        <x:v>P0</x:v>
      </x:c>
      <x:c r="Q104" s="60" t="str"/>
      <x:c r="R104" s="64" t="n">
        <x:f>IF(OR(N104="已完成",N104="不适用"),0,MAX(0,TODAY()-F104))</x:f>
        <x:v>0</x:v>
      </x:c>
    </x:row>
    <x:row r="105">
      <x:c r="A105" s="63" t="str">
        <x:v>P3.7.10.2</x:v>
      </x:c>
      <x:c r="B105" s="60" t="str">
        <x:v>P3</x:v>
      </x:c>
      <x:c r="C105" s="60" t="str">
        <x:v>闭环与CDSS</x:v>
      </x:c>
      <x:c r="D105" s="60" t="str">
        <x:v>临床安全评审和持续优化：完成评审并纳入版本基线</x:v>
      </x:c>
      <x:c r="E105" s="81" t="n">
        <x:v>46561</x:v>
      </x:c>
      <x:c r="F105" s="81" t="n">
        <x:v>46563</x:v>
      </x:c>
      <x:c r="G105" s="60" t="n">
        <x:v>3</x:v>
      </x:c>
      <x:c r="H105" s="60" t="str"/>
      <x:c r="I105" s="60" t="str">
        <x:v>医务/护理/药学</x:v>
      </x:c>
      <x:c r="J105" s="60" t="str">
        <x:v>工作流负责人</x:v>
      </x:c>
      <x:c r="K105" s="60" t="str">
        <x:v>相关业务科室/厂商</x:v>
      </x:c>
      <x:c r="L105" s="60" t="str">
        <x:v>评审纪要、问题清单和版本基线</x:v>
      </x:c>
      <x:c r="M105" s="60" t="str">
        <x:v>业务、技术、测试共同签字，证据可追溯</x:v>
      </x:c>
      <x:c r="N105" s="60" t="str">
        <x:v>未开始</x:v>
      </x:c>
      <x:c r="O105" s="85" t="n">
        <x:v>0</x:v>
      </x:c>
      <x:c r="P105" s="60" t="str">
        <x:v>P0</x:v>
      </x:c>
      <x:c r="Q105" s="60" t="str"/>
      <x:c r="R105" s="64" t="n">
        <x:f>IF(OR(N105="已完成",N105="不适用"),0,MAX(0,TODAY()-F105))</x:f>
        <x:v>0</x:v>
      </x:c>
    </x:row>
    <x:row r="106">
      <x:c r="A106" s="63" t="str">
        <x:v>P1.8.1.1</x:v>
      </x:c>
      <x:c r="B106" s="60" t="str">
        <x:v>P1</x:v>
      </x:c>
      <x:c r="C106" s="60" t="str">
        <x:v>安全合规与运维</x:v>
      </x:c>
      <x:c r="D106" s="60" t="str">
        <x:v>完成分类分级和处理活动台账</x:v>
      </x:c>
      <x:c r="E106" s="81" t="n">
        <x:v>46284</x:v>
      </x:c>
      <x:c r="F106" s="81" t="n">
        <x:v>46288</x:v>
      </x:c>
      <x:c r="G106" s="60" t="n">
        <x:v>5</x:v>
      </x:c>
      <x:c r="H106" s="60" t="str"/>
      <x:c r="I106" s="60" t="str">
        <x:v>网安办/运维</x:v>
      </x:c>
      <x:c r="J106" s="60" t="str">
        <x:v>工作流负责人</x:v>
      </x:c>
      <x:c r="K106" s="60" t="str">
        <x:v>相关业务科室/厂商</x:v>
      </x:c>
      <x:c r="L106" s="60" t="str">
        <x:v>经评审的完成分类分级和处理活动台账交付物</x:v>
      </x:c>
      <x:c r="M106" s="60" t="str">
        <x:v>内容完整、可执行、与总体模型和标准一致</x:v>
      </x:c>
      <x:c r="N106" s="60" t="str">
        <x:v>未开始</x:v>
      </x:c>
      <x:c r="O106" s="85" t="n">
        <x:v>0</x:v>
      </x:c>
      <x:c r="P106" s="60" t="str">
        <x:v>P0</x:v>
      </x:c>
      <x:c r="Q106" s="60" t="str"/>
      <x:c r="R106" s="64" t="n">
        <x:f>IF(OR(N106="已完成",N106="不适用"),0,MAX(0,TODAY()-F106))</x:f>
        <x:v>0</x:v>
      </x:c>
    </x:row>
    <x:row r="107">
      <x:c r="A107" s="63" t="str">
        <x:v>P1.8.2.1</x:v>
      </x:c>
      <x:c r="B107" s="60" t="str">
        <x:v>P1</x:v>
      </x:c>
      <x:c r="C107" s="60" t="str">
        <x:v>安全合规与运维</x:v>
      </x:c>
      <x:c r="D107" s="60" t="str">
        <x:v>RBAC+ABAC最小权限和复核</x:v>
      </x:c>
      <x:c r="E107" s="81" t="n">
        <x:v>46291</x:v>
      </x:c>
      <x:c r="F107" s="81" t="n">
        <x:v>46295</x:v>
      </x:c>
      <x:c r="G107" s="60" t="n">
        <x:v>5</x:v>
      </x:c>
      <x:c r="H107" s="60" t="str"/>
      <x:c r="I107" s="60" t="str">
        <x:v>网安办/运维</x:v>
      </x:c>
      <x:c r="J107" s="60" t="str">
        <x:v>工作流负责人</x:v>
      </x:c>
      <x:c r="K107" s="60" t="str">
        <x:v>相关业务科室/厂商</x:v>
      </x:c>
      <x:c r="L107" s="60" t="str">
        <x:v>经评审的RBAC+ABAC最小权限和复核交付物</x:v>
      </x:c>
      <x:c r="M107" s="60" t="str">
        <x:v>内容完整、可执行、与总体模型和标准一致</x:v>
      </x:c>
      <x:c r="N107" s="60" t="str">
        <x:v>未开始</x:v>
      </x:c>
      <x:c r="O107" s="85" t="n">
        <x:v>0</x:v>
      </x:c>
      <x:c r="P107" s="60" t="str">
        <x:v>P0</x:v>
      </x:c>
      <x:c r="Q107" s="60" t="str"/>
      <x:c r="R107" s="64" t="n">
        <x:f>IF(OR(N107="已完成",N107="不适用"),0,MAX(0,TODAY()-F107))</x:f>
        <x:v>0</x:v>
      </x:c>
    </x:row>
    <x:row r="108">
      <x:c r="A108" s="63" t="str">
        <x:v>P1.8.3.1</x:v>
      </x:c>
      <x:c r="B108" s="60" t="str">
        <x:v>P1</x:v>
      </x:c>
      <x:c r="C108" s="60" t="str">
        <x:v>安全合规与运维</x:v>
      </x:c>
      <x:c r="D108" s="60" t="str">
        <x:v>敏感字段加密动态脱敏密钥托管</x:v>
      </x:c>
      <x:c r="E108" s="81" t="n">
        <x:v>46298</x:v>
      </x:c>
      <x:c r="F108" s="81" t="n">
        <x:v>46302</x:v>
      </x:c>
      <x:c r="G108" s="60" t="n">
        <x:v>5</x:v>
      </x:c>
      <x:c r="H108" s="60" t="str"/>
      <x:c r="I108" s="60" t="str">
        <x:v>网安办/运维</x:v>
      </x:c>
      <x:c r="J108" s="60" t="str">
        <x:v>工作流负责人</x:v>
      </x:c>
      <x:c r="K108" s="60" t="str">
        <x:v>相关业务科室/厂商</x:v>
      </x:c>
      <x:c r="L108" s="60" t="str">
        <x:v>经评审的敏感字段加密动态脱敏密钥托管交付物</x:v>
      </x:c>
      <x:c r="M108" s="60" t="str">
        <x:v>内容完整、可执行、与总体模型和标准一致</x:v>
      </x:c>
      <x:c r="N108" s="60" t="str">
        <x:v>未开始</x:v>
      </x:c>
      <x:c r="O108" s="85" t="n">
        <x:v>0</x:v>
      </x:c>
      <x:c r="P108" s="60" t="str">
        <x:v>P0</x:v>
      </x:c>
      <x:c r="Q108" s="60" t="str"/>
      <x:c r="R108" s="64" t="n">
        <x:f>IF(OR(N108="已完成",N108="不适用"),0,MAX(0,TODAY()-F108))</x:f>
        <x:v>0</x:v>
      </x:c>
    </x:row>
    <x:row r="109">
      <x:c r="A109" s="63" t="str">
        <x:v>P1.8.4.1</x:v>
      </x:c>
      <x:c r="B109" s="60" t="str">
        <x:v>P1</x:v>
      </x:c>
      <x:c r="C109" s="60" t="str">
        <x:v>安全合规与运维</x:v>
      </x:c>
      <x:c r="D109" s="60" t="str">
        <x:v>导出审批去标识水印到期</x:v>
      </x:c>
      <x:c r="E109" s="81" t="n">
        <x:v>46305</x:v>
      </x:c>
      <x:c r="F109" s="81" t="n">
        <x:v>46309</x:v>
      </x:c>
      <x:c r="G109" s="60" t="n">
        <x:v>5</x:v>
      </x:c>
      <x:c r="H109" s="60" t="str"/>
      <x:c r="I109" s="60" t="str">
        <x:v>网安办/运维</x:v>
      </x:c>
      <x:c r="J109" s="60" t="str">
        <x:v>工作流负责人</x:v>
      </x:c>
      <x:c r="K109" s="60" t="str">
        <x:v>相关业务科室/厂商</x:v>
      </x:c>
      <x:c r="L109" s="60" t="str">
        <x:v>经评审的导出审批去标识水印到期交付物</x:v>
      </x:c>
      <x:c r="M109" s="60" t="str">
        <x:v>内容完整、可执行、与总体模型和标准一致</x:v>
      </x:c>
      <x:c r="N109" s="60" t="str">
        <x:v>未开始</x:v>
      </x:c>
      <x:c r="O109" s="85" t="n">
        <x:v>0</x:v>
      </x:c>
      <x:c r="P109" s="60" t="str">
        <x:v>P0</x:v>
      </x:c>
      <x:c r="Q109" s="60" t="str"/>
      <x:c r="R109" s="64" t="n">
        <x:f>IF(OR(N109="已完成",N109="不适用"),0,MAX(0,TODAY()-F109))</x:f>
        <x:v>0</x:v>
      </x:c>
    </x:row>
    <x:row r="110">
      <x:c r="A110" s="63" t="str">
        <x:v>P1.8.5.1</x:v>
      </x:c>
      <x:c r="B110" s="60" t="str">
        <x:v>P1</x:v>
      </x:c>
      <x:c r="C110" s="60" t="str">
        <x:v>安全合规与运维</x:v>
      </x:c>
      <x:c r="D110" s="60" t="str">
        <x:v>汇聚访问接口合并发布导出审计</x:v>
      </x:c>
      <x:c r="E110" s="81" t="n">
        <x:v>46312</x:v>
      </x:c>
      <x:c r="F110" s="81" t="n">
        <x:v>46316</x:v>
      </x:c>
      <x:c r="G110" s="60" t="n">
        <x:v>5</x:v>
      </x:c>
      <x:c r="H110" s="60" t="str"/>
      <x:c r="I110" s="60" t="str">
        <x:v>网安办/运维</x:v>
      </x:c>
      <x:c r="J110" s="60" t="str">
        <x:v>工作流负责人</x:v>
      </x:c>
      <x:c r="K110" s="60" t="str">
        <x:v>相关业务科室/厂商</x:v>
      </x:c>
      <x:c r="L110" s="60" t="str">
        <x:v>经评审的汇聚访问接口合并发布导出审计交付物</x:v>
      </x:c>
      <x:c r="M110" s="60" t="str">
        <x:v>内容完整、可执行、与总体模型和标准一致</x:v>
      </x:c>
      <x:c r="N110" s="60" t="str">
        <x:v>未开始</x:v>
      </x:c>
      <x:c r="O110" s="85" t="n">
        <x:v>0</x:v>
      </x:c>
      <x:c r="P110" s="60" t="str">
        <x:v>P0</x:v>
      </x:c>
      <x:c r="Q110" s="60" t="str"/>
      <x:c r="R110" s="64" t="n">
        <x:f>IF(OR(N110="已完成",N110="不适用"),0,MAX(0,TODAY()-F110))</x:f>
        <x:v>0</x:v>
      </x:c>
    </x:row>
    <x:row r="111">
      <x:c r="A111" s="63" t="str">
        <x:v>P1.8.6.1</x:v>
      </x:c>
      <x:c r="B111" s="60" t="str">
        <x:v>P1</x:v>
      </x:c>
      <x:c r="C111" s="60" t="str">
        <x:v>安全合规与运维</x:v>
      </x:c>
      <x:c r="D111" s="60" t="str">
        <x:v>异常行为告警处置</x:v>
      </x:c>
      <x:c r="E111" s="81" t="n">
        <x:v>46319</x:v>
      </x:c>
      <x:c r="F111" s="81" t="n">
        <x:v>46323</x:v>
      </x:c>
      <x:c r="G111" s="60" t="n">
        <x:v>5</x:v>
      </x:c>
      <x:c r="H111" s="60" t="str"/>
      <x:c r="I111" s="60" t="str">
        <x:v>网安办/运维</x:v>
      </x:c>
      <x:c r="J111" s="60" t="str">
        <x:v>工作流负责人</x:v>
      </x:c>
      <x:c r="K111" s="60" t="str">
        <x:v>相关业务科室/厂商</x:v>
      </x:c>
      <x:c r="L111" s="60" t="str">
        <x:v>经评审的异常行为告警处置交付物</x:v>
      </x:c>
      <x:c r="M111" s="60" t="str">
        <x:v>内容完整、可执行、与总体模型和标准一致</x:v>
      </x:c>
      <x:c r="N111" s="60" t="str">
        <x:v>未开始</x:v>
      </x:c>
      <x:c r="O111" s="85" t="n">
        <x:v>0</x:v>
      </x:c>
      <x:c r="P111" s="60" t="str">
        <x:v>P0</x:v>
      </x:c>
      <x:c r="Q111" s="60" t="str"/>
      <x:c r="R111" s="64" t="n">
        <x:f>IF(OR(N111="已完成",N111="不适用"),0,MAX(0,TODAY()-F111))</x:f>
        <x:v>0</x:v>
      </x:c>
    </x:row>
    <x:row r="112">
      <x:c r="A112" s="63" t="str">
        <x:v>P1.8.7.1</x:v>
      </x:c>
      <x:c r="B112" s="60" t="str">
        <x:v>P1</x:v>
      </x:c>
      <x:c r="C112" s="60" t="str">
        <x:v>安全合规与运维</x:v>
      </x:c>
      <x:c r="D112" s="60" t="str">
        <x:v>等保漏洞基线整改</x:v>
      </x:c>
      <x:c r="E112" s="81" t="n">
        <x:v>46326</x:v>
      </x:c>
      <x:c r="F112" s="81" t="n">
        <x:v>46330</x:v>
      </x:c>
      <x:c r="G112" s="60" t="n">
        <x:v>5</x:v>
      </x:c>
      <x:c r="H112" s="60" t="str"/>
      <x:c r="I112" s="60" t="str">
        <x:v>网安办/运维</x:v>
      </x:c>
      <x:c r="J112" s="60" t="str">
        <x:v>工作流负责人</x:v>
      </x:c>
      <x:c r="K112" s="60" t="str">
        <x:v>相关业务科室/厂商</x:v>
      </x:c>
      <x:c r="L112" s="60" t="str">
        <x:v>经评审的等保漏洞基线整改交付物</x:v>
      </x:c>
      <x:c r="M112" s="60" t="str">
        <x:v>内容完整、可执行、与总体模型和标准一致</x:v>
      </x:c>
      <x:c r="N112" s="60" t="str">
        <x:v>未开始</x:v>
      </x:c>
      <x:c r="O112" s="85" t="n">
        <x:v>0</x:v>
      </x:c>
      <x:c r="P112" s="60" t="str">
        <x:v>P0</x:v>
      </x:c>
      <x:c r="Q112" s="60" t="str"/>
      <x:c r="R112" s="64" t="n">
        <x:f>IF(OR(N112="已完成",N112="不适用"),0,MAX(0,TODAY()-F112))</x:f>
        <x:v>0</x:v>
      </x:c>
    </x:row>
    <x:row r="113">
      <x:c r="A113" s="63" t="str">
        <x:v>P1.8.8.1</x:v>
      </x:c>
      <x:c r="B113" s="60" t="str">
        <x:v>P1</x:v>
      </x:c>
      <x:c r="C113" s="60" t="str">
        <x:v>安全合规与运维</x:v>
      </x:c>
      <x:c r="D113" s="60" t="str">
        <x:v>高可用备份RPO/RTO容灾</x:v>
      </x:c>
      <x:c r="E113" s="81" t="n">
        <x:v>46333</x:v>
      </x:c>
      <x:c r="F113" s="81" t="n">
        <x:v>46337</x:v>
      </x:c>
      <x:c r="G113" s="60" t="n">
        <x:v>5</x:v>
      </x:c>
      <x:c r="H113" s="60" t="str"/>
      <x:c r="I113" s="60" t="str">
        <x:v>网安办/运维</x:v>
      </x:c>
      <x:c r="J113" s="60" t="str">
        <x:v>工作流负责人</x:v>
      </x:c>
      <x:c r="K113" s="60" t="str">
        <x:v>相关业务科室/厂商</x:v>
      </x:c>
      <x:c r="L113" s="60" t="str">
        <x:v>经评审的高可用备份RPO/RTO容灾交付物</x:v>
      </x:c>
      <x:c r="M113" s="60" t="str">
        <x:v>内容完整、可执行、与总体模型和标准一致</x:v>
      </x:c>
      <x:c r="N113" s="60" t="str">
        <x:v>未开始</x:v>
      </x:c>
      <x:c r="O113" s="85" t="n">
        <x:v>0</x:v>
      </x:c>
      <x:c r="P113" s="60" t="str">
        <x:v>P0</x:v>
      </x:c>
      <x:c r="Q113" s="60" t="str"/>
      <x:c r="R113" s="64" t="n">
        <x:f>IF(OR(N113="已完成",N113="不适用"),0,MAX(0,TODAY()-F113))</x:f>
        <x:v>0</x:v>
      </x:c>
    </x:row>
    <x:row r="114">
      <x:c r="A114" s="63" t="str">
        <x:v>P1.8.9.1</x:v>
      </x:c>
      <x:c r="B114" s="60" t="str">
        <x:v>P1</x:v>
      </x:c>
      <x:c r="C114" s="60" t="str">
        <x:v>安全合规与运维</x:v>
      </x:c>
      <x:c r="D114" s="60" t="str">
        <x:v>恢复回滚断链补偿应急演练</x:v>
      </x:c>
      <x:c r="E114" s="81" t="n">
        <x:v>46340</x:v>
      </x:c>
      <x:c r="F114" s="81" t="n">
        <x:v>46344</x:v>
      </x:c>
      <x:c r="G114" s="60" t="n">
        <x:v>5</x:v>
      </x:c>
      <x:c r="H114" s="60" t="str"/>
      <x:c r="I114" s="60" t="str">
        <x:v>网安办/运维</x:v>
      </x:c>
      <x:c r="J114" s="60" t="str">
        <x:v>工作流负责人</x:v>
      </x:c>
      <x:c r="K114" s="60" t="str">
        <x:v>相关业务科室/厂商</x:v>
      </x:c>
      <x:c r="L114" s="60" t="str">
        <x:v>经评审的恢复回滚断链补偿应急演练交付物</x:v>
      </x:c>
      <x:c r="M114" s="60" t="str">
        <x:v>内容完整、可执行、与总体模型和标准一致</x:v>
      </x:c>
      <x:c r="N114" s="60" t="str">
        <x:v>未开始</x:v>
      </x:c>
      <x:c r="O114" s="85" t="n">
        <x:v>0</x:v>
      </x:c>
      <x:c r="P114" s="60" t="str">
        <x:v>P0</x:v>
      </x:c>
      <x:c r="Q114" s="60" t="str"/>
      <x:c r="R114" s="64" t="n">
        <x:f>IF(OR(N114="已完成",N114="不适用"),0,MAX(0,TODAY()-F114))</x:f>
        <x:v>0</x:v>
      </x:c>
    </x:row>
    <x:row r="115">
      <x:c r="A115" s="63" t="str">
        <x:v>P1.8.10.1</x:v>
      </x:c>
      <x:c r="B115" s="60" t="str">
        <x:v>P1</x:v>
      </x:c>
      <x:c r="C115" s="60" t="str">
        <x:v>安全合规与运维</x:v>
      </x:c>
      <x:c r="D115" s="60" t="str">
        <x:v>可观测容量证书版本运维</x:v>
      </x:c>
      <x:c r="E115" s="81" t="n">
        <x:v>46347</x:v>
      </x:c>
      <x:c r="F115" s="81" t="n">
        <x:v>46351</x:v>
      </x:c>
      <x:c r="G115" s="60" t="n">
        <x:v>5</x:v>
      </x:c>
      <x:c r="H115" s="60" t="str"/>
      <x:c r="I115" s="60" t="str">
        <x:v>网安办/运维</x:v>
      </x:c>
      <x:c r="J115" s="60" t="str">
        <x:v>工作流负责人</x:v>
      </x:c>
      <x:c r="K115" s="60" t="str">
        <x:v>相关业务科室/厂商</x:v>
      </x:c>
      <x:c r="L115" s="60" t="str">
        <x:v>经评审的可观测容量证书版本运维交付物</x:v>
      </x:c>
      <x:c r="M115" s="60" t="str">
        <x:v>内容完整、可执行、与总体模型和标准一致</x:v>
      </x:c>
      <x:c r="N115" s="60" t="str">
        <x:v>未开始</x:v>
      </x:c>
      <x:c r="O115" s="85" t="n">
        <x:v>0</x:v>
      </x:c>
      <x:c r="P115" s="60" t="str">
        <x:v>P0</x:v>
      </x:c>
      <x:c r="Q115" s="60" t="str"/>
      <x:c r="R115" s="64" t="n">
        <x:f>IF(OR(N115="已完成",N115="不适用"),0,MAX(0,TODAY()-F115))</x:f>
        <x:v>0</x:v>
      </x:c>
    </x:row>
    <x:row r="116">
      <x:c r="A116" s="63" t="str">
        <x:v>P2.9.1.1</x:v>
      </x:c>
      <x:c r="B116" s="60" t="str">
        <x:v>P2</x:v>
      </x:c>
      <x:c r="C116" s="60" t="str">
        <x:v>评测验收与推广</x:v>
      </x:c>
      <x:c r="D116" s="60" t="str">
        <x:v>建立五乙与六级条款映射库</x:v>
      </x:c>
      <x:c r="E116" s="81" t="n">
        <x:v>46368</x:v>
      </x:c>
      <x:c r="F116" s="81" t="n">
        <x:v>46372</x:v>
      </x:c>
      <x:c r="G116" s="60" t="n">
        <x:v>5</x:v>
      </x:c>
      <x:c r="H116" s="60" t="str"/>
      <x:c r="I116" s="60" t="str">
        <x:v>评级办/项目办</x:v>
      </x:c>
      <x:c r="J116" s="60" t="str">
        <x:v>工作流负责人</x:v>
      </x:c>
      <x:c r="K116" s="60" t="str">
        <x:v>相关业务科室/厂商</x:v>
      </x:c>
      <x:c r="L116" s="60" t="str">
        <x:v>经评审的建立五乙与六级条款映射库交付物</x:v>
      </x:c>
      <x:c r="M116" s="60" t="str">
        <x:v>内容完整、可执行、与总体模型和标准一致</x:v>
      </x:c>
      <x:c r="N116" s="60" t="str">
        <x:v>未开始</x:v>
      </x:c>
      <x:c r="O116" s="85" t="n">
        <x:v>0</x:v>
      </x:c>
      <x:c r="P116" s="60" t="str">
        <x:v>P0</x:v>
      </x:c>
      <x:c r="Q116" s="60" t="str"/>
      <x:c r="R116" s="64" t="n">
        <x:f>IF(OR(N116="已完成",N116="不适用"),0,MAX(0,TODAY()-F116))</x:f>
        <x:v>0</x:v>
      </x:c>
    </x:row>
    <x:row r="117">
      <x:c r="A117" s="63" t="str">
        <x:v>P2.9.1.2</x:v>
      </x:c>
      <x:c r="B117" s="60" t="str">
        <x:v>P2</x:v>
      </x:c>
      <x:c r="C117" s="60" t="str">
        <x:v>评测验收与推广</x:v>
      </x:c>
      <x:c r="D117" s="60" t="str">
        <x:v>建立五乙与六级条款映射库：完成评审并纳入版本基线</x:v>
      </x:c>
      <x:c r="E117" s="81" t="n">
        <x:v>46372</x:v>
      </x:c>
      <x:c r="F117" s="81" t="n">
        <x:v>46374</x:v>
      </x:c>
      <x:c r="G117" s="60" t="n">
        <x:v>3</x:v>
      </x:c>
      <x:c r="H117" s="60" t="str"/>
      <x:c r="I117" s="60" t="str">
        <x:v>评级办/项目办</x:v>
      </x:c>
      <x:c r="J117" s="60" t="str">
        <x:v>工作流负责人</x:v>
      </x:c>
      <x:c r="K117" s="60" t="str">
        <x:v>相关业务科室/厂商</x:v>
      </x:c>
      <x:c r="L117" s="60" t="str">
        <x:v>评审纪要、问题清单和版本基线</x:v>
      </x:c>
      <x:c r="M117" s="60" t="str">
        <x:v>业务、技术、测试共同签字，证据可追溯</x:v>
      </x:c>
      <x:c r="N117" s="60" t="str">
        <x:v>未开始</x:v>
      </x:c>
      <x:c r="O117" s="85" t="n">
        <x:v>0</x:v>
      </x:c>
      <x:c r="P117" s="60" t="str">
        <x:v>P0</x:v>
      </x:c>
      <x:c r="Q117" s="60" t="str"/>
      <x:c r="R117" s="64" t="n">
        <x:f>IF(OR(N117="已完成",N117="不适用"),0,MAX(0,TODAY()-F117))</x:f>
        <x:v>0</x:v>
      </x:c>
    </x:row>
    <x:row r="118">
      <x:c r="A118" s="63" t="str">
        <x:v>P2.9.2.1</x:v>
      </x:c>
      <x:c r="B118" s="60" t="str">
        <x:v>P2</x:v>
      </x:c>
      <x:c r="C118" s="60" t="str">
        <x:v>评测验收与推广</x:v>
      </x:c>
      <x:c r="D118" s="60" t="str">
        <x:v>制定测试演示和证据模板</x:v>
      </x:c>
      <x:c r="E118" s="81" t="n">
        <x:v>46375</x:v>
      </x:c>
      <x:c r="F118" s="81" t="n">
        <x:v>46379</x:v>
      </x:c>
      <x:c r="G118" s="60" t="n">
        <x:v>5</x:v>
      </x:c>
      <x:c r="H118" s="60" t="str"/>
      <x:c r="I118" s="60" t="str">
        <x:v>评级办/项目办</x:v>
      </x:c>
      <x:c r="J118" s="60" t="str">
        <x:v>工作流负责人</x:v>
      </x:c>
      <x:c r="K118" s="60" t="str">
        <x:v>相关业务科室/厂商</x:v>
      </x:c>
      <x:c r="L118" s="60" t="str">
        <x:v>经评审的制定测试演示和证据模板交付物</x:v>
      </x:c>
      <x:c r="M118" s="60" t="str">
        <x:v>内容完整、可执行、与总体模型和标准一致</x:v>
      </x:c>
      <x:c r="N118" s="60" t="str">
        <x:v>未开始</x:v>
      </x:c>
      <x:c r="O118" s="85" t="n">
        <x:v>0</x:v>
      </x:c>
      <x:c r="P118" s="60" t="str">
        <x:v>P0</x:v>
      </x:c>
      <x:c r="Q118" s="60" t="str"/>
      <x:c r="R118" s="64" t="n">
        <x:f>IF(OR(N118="已完成",N118="不适用"),0,MAX(0,TODAY()-F118))</x:f>
        <x:v>0</x:v>
      </x:c>
    </x:row>
    <x:row r="119">
      <x:c r="A119" s="63" t="str">
        <x:v>P2.9.2.2</x:v>
      </x:c>
      <x:c r="B119" s="60" t="str">
        <x:v>P2</x:v>
      </x:c>
      <x:c r="C119" s="60" t="str">
        <x:v>评测验收与推广</x:v>
      </x:c>
      <x:c r="D119" s="60" t="str">
        <x:v>制定测试演示和证据模板：完成评审并纳入版本基线</x:v>
      </x:c>
      <x:c r="E119" s="81" t="n">
        <x:v>46379</x:v>
      </x:c>
      <x:c r="F119" s="81" t="n">
        <x:v>46381</x:v>
      </x:c>
      <x:c r="G119" s="60" t="n">
        <x:v>3</x:v>
      </x:c>
      <x:c r="H119" s="60" t="str"/>
      <x:c r="I119" s="60" t="str">
        <x:v>评级办/项目办</x:v>
      </x:c>
      <x:c r="J119" s="60" t="str">
        <x:v>工作流负责人</x:v>
      </x:c>
      <x:c r="K119" s="60" t="str">
        <x:v>相关业务科室/厂商</x:v>
      </x:c>
      <x:c r="L119" s="60" t="str">
        <x:v>评审纪要、问题清单和版本基线</x:v>
      </x:c>
      <x:c r="M119" s="60" t="str">
        <x:v>业务、技术、测试共同签字，证据可追溯</x:v>
      </x:c>
      <x:c r="N119" s="60" t="str">
        <x:v>未开始</x:v>
      </x:c>
      <x:c r="O119" s="85" t="n">
        <x:v>0</x:v>
      </x:c>
      <x:c r="P119" s="60" t="str">
        <x:v>P0</x:v>
      </x:c>
      <x:c r="Q119" s="60" t="str"/>
      <x:c r="R119" s="64" t="n">
        <x:f>IF(OR(N119="已完成",N119="不适用"),0,MAX(0,TODAY()-F119))</x:f>
        <x:v>0</x:v>
      </x:c>
    </x:row>
    <x:row r="120">
      <x:c r="A120" s="63" t="str">
        <x:v>P2.9.3.1</x:v>
      </x:c>
      <x:c r="B120" s="60" t="str">
        <x:v>P2</x:v>
      </x:c>
      <x:c r="C120" s="60" t="str">
        <x:v>评测验收与推广</x:v>
      </x:c>
      <x:c r="D120" s="60" t="str">
        <x:v>每月差距和证据完整性检查</x:v>
      </x:c>
      <x:c r="E120" s="81" t="n">
        <x:v>46382</x:v>
      </x:c>
      <x:c r="F120" s="81" t="n">
        <x:v>46386</x:v>
      </x:c>
      <x:c r="G120" s="60" t="n">
        <x:v>5</x:v>
      </x:c>
      <x:c r="H120" s="60" t="str"/>
      <x:c r="I120" s="60" t="str">
        <x:v>评级办/项目办</x:v>
      </x:c>
      <x:c r="J120" s="60" t="str">
        <x:v>工作流负责人</x:v>
      </x:c>
      <x:c r="K120" s="60" t="str">
        <x:v>相关业务科室/厂商</x:v>
      </x:c>
      <x:c r="L120" s="60" t="str">
        <x:v>经评审的每月差距和证据完整性检查交付物</x:v>
      </x:c>
      <x:c r="M120" s="60" t="str">
        <x:v>内容完整、可执行、与总体模型和标准一致</x:v>
      </x:c>
      <x:c r="N120" s="60" t="str">
        <x:v>未开始</x:v>
      </x:c>
      <x:c r="O120" s="85" t="n">
        <x:v>0</x:v>
      </x:c>
      <x:c r="P120" s="60" t="str">
        <x:v>P0</x:v>
      </x:c>
      <x:c r="Q120" s="60" t="str"/>
      <x:c r="R120" s="64" t="n">
        <x:f>IF(OR(N120="已完成",N120="不适用"),0,MAX(0,TODAY()-F120))</x:f>
        <x:v>0</x:v>
      </x:c>
    </x:row>
    <x:row r="121">
      <x:c r="A121" s="63" t="str">
        <x:v>P2.9.3.2</x:v>
      </x:c>
      <x:c r="B121" s="60" t="str">
        <x:v>P2</x:v>
      </x:c>
      <x:c r="C121" s="60" t="str">
        <x:v>评测验收与推广</x:v>
      </x:c>
      <x:c r="D121" s="60" t="str">
        <x:v>每月差距和证据完整性检查：完成评审并纳入版本基线</x:v>
      </x:c>
      <x:c r="E121" s="81" t="n">
        <x:v>46386</x:v>
      </x:c>
      <x:c r="F121" s="81" t="n">
        <x:v>46388</x:v>
      </x:c>
      <x:c r="G121" s="60" t="n">
        <x:v>3</x:v>
      </x:c>
      <x:c r="H121" s="60" t="str"/>
      <x:c r="I121" s="60" t="str">
        <x:v>评级办/项目办</x:v>
      </x:c>
      <x:c r="J121" s="60" t="str">
        <x:v>工作流负责人</x:v>
      </x:c>
      <x:c r="K121" s="60" t="str">
        <x:v>相关业务科室/厂商</x:v>
      </x:c>
      <x:c r="L121" s="60" t="str">
        <x:v>评审纪要、问题清单和版本基线</x:v>
      </x:c>
      <x:c r="M121" s="60" t="str">
        <x:v>业务、技术、测试共同签字，证据可追溯</x:v>
      </x:c>
      <x:c r="N121" s="60" t="str">
        <x:v>未开始</x:v>
      </x:c>
      <x:c r="O121" s="85" t="n">
        <x:v>0</x:v>
      </x:c>
      <x:c r="P121" s="60" t="str">
        <x:v>P0</x:v>
      </x:c>
      <x:c r="Q121" s="60" t="str"/>
      <x:c r="R121" s="64" t="n">
        <x:f>IF(OR(N121="已完成",N121="不适用"),0,MAX(0,TODAY()-F121))</x:f>
        <x:v>0</x:v>
      </x:c>
    </x:row>
    <x:row r="122">
      <x:c r="A122" s="63" t="str">
        <x:v>P2.9.4.1</x:v>
      </x:c>
      <x:c r="B122" s="60" t="str">
        <x:v>P2</x:v>
      </x:c>
      <x:c r="C122" s="60" t="str">
        <x:v>评测验收与推广</x:v>
      </x:c>
      <x:c r="D122" s="60" t="str">
        <x:v>功能数据接口性能安全容灾测试</x:v>
      </x:c>
      <x:c r="E122" s="81" t="n">
        <x:v>46389</x:v>
      </x:c>
      <x:c r="F122" s="81" t="n">
        <x:v>46393</x:v>
      </x:c>
      <x:c r="G122" s="60" t="n">
        <x:v>5</x:v>
      </x:c>
      <x:c r="H122" s="60" t="str"/>
      <x:c r="I122" s="60" t="str">
        <x:v>评级办/项目办</x:v>
      </x:c>
      <x:c r="J122" s="60" t="str">
        <x:v>工作流负责人</x:v>
      </x:c>
      <x:c r="K122" s="60" t="str">
        <x:v>相关业务科室/厂商</x:v>
      </x:c>
      <x:c r="L122" s="60" t="str">
        <x:v>经评审的功能数据接口性能安全容灾测试交付物</x:v>
      </x:c>
      <x:c r="M122" s="60" t="str">
        <x:v>内容完整、可执行、与总体模型和标准一致</x:v>
      </x:c>
      <x:c r="N122" s="60" t="str">
        <x:v>未开始</x:v>
      </x:c>
      <x:c r="O122" s="85" t="n">
        <x:v>0</x:v>
      </x:c>
      <x:c r="P122" s="60" t="str">
        <x:v>P0</x:v>
      </x:c>
      <x:c r="Q122" s="60" t="str"/>
      <x:c r="R122" s="64" t="n">
        <x:f>IF(OR(N122="已完成",N122="不适用"),0,MAX(0,TODAY()-F122))</x:f>
        <x:v>0</x:v>
      </x:c>
    </x:row>
    <x:row r="123">
      <x:c r="A123" s="63" t="str">
        <x:v>P2.9.4.2</x:v>
      </x:c>
      <x:c r="B123" s="60" t="str">
        <x:v>P2</x:v>
      </x:c>
      <x:c r="C123" s="60" t="str">
        <x:v>评测验收与推广</x:v>
      </x:c>
      <x:c r="D123" s="60" t="str">
        <x:v>功能数据接口性能安全容灾测试：完成评审并纳入版本基线</x:v>
      </x:c>
      <x:c r="E123" s="81" t="n">
        <x:v>46393</x:v>
      </x:c>
      <x:c r="F123" s="81" t="n">
        <x:v>46395</x:v>
      </x:c>
      <x:c r="G123" s="60" t="n">
        <x:v>3</x:v>
      </x:c>
      <x:c r="H123" s="60" t="str"/>
      <x:c r="I123" s="60" t="str">
        <x:v>评级办/项目办</x:v>
      </x:c>
      <x:c r="J123" s="60" t="str">
        <x:v>工作流负责人</x:v>
      </x:c>
      <x:c r="K123" s="60" t="str">
        <x:v>相关业务科室/厂商</x:v>
      </x:c>
      <x:c r="L123" s="60" t="str">
        <x:v>评审纪要、问题清单和版本基线</x:v>
      </x:c>
      <x:c r="M123" s="60" t="str">
        <x:v>业务、技术、测试共同签字，证据可追溯</x:v>
      </x:c>
      <x:c r="N123" s="60" t="str">
        <x:v>未开始</x:v>
      </x:c>
      <x:c r="O123" s="85" t="n">
        <x:v>0</x:v>
      </x:c>
      <x:c r="P123" s="60" t="str">
        <x:v>P0</x:v>
      </x:c>
      <x:c r="Q123" s="60" t="str"/>
      <x:c r="R123" s="64" t="n">
        <x:f>IF(OR(N123="已完成",N123="不适用"),0,MAX(0,TODAY()-F123))</x:f>
        <x:v>0</x:v>
      </x:c>
    </x:row>
    <x:row r="124">
      <x:c r="A124" s="63" t="str">
        <x:v>P2.9.5.1</x:v>
      </x:c>
      <x:c r="B124" s="60" t="str">
        <x:v>P2</x:v>
      </x:c>
      <x:c r="C124" s="60" t="str">
        <x:v>评测验收与推广</x:v>
      </x:c>
      <x:c r="D124" s="60" t="str">
        <x:v>科室UAT和业务签字</x:v>
      </x:c>
      <x:c r="E124" s="81" t="n">
        <x:v>46396</x:v>
      </x:c>
      <x:c r="F124" s="81" t="n">
        <x:v>46400</x:v>
      </x:c>
      <x:c r="G124" s="60" t="n">
        <x:v>5</x:v>
      </x:c>
      <x:c r="H124" s="60" t="str"/>
      <x:c r="I124" s="60" t="str">
        <x:v>评级办/项目办</x:v>
      </x:c>
      <x:c r="J124" s="60" t="str">
        <x:v>工作流负责人</x:v>
      </x:c>
      <x:c r="K124" s="60" t="str">
        <x:v>相关业务科室/厂商</x:v>
      </x:c>
      <x:c r="L124" s="60" t="str">
        <x:v>经评审的科室UAT和业务签字交付物</x:v>
      </x:c>
      <x:c r="M124" s="60" t="str">
        <x:v>内容完整、可执行、与总体模型和标准一致</x:v>
      </x:c>
      <x:c r="N124" s="60" t="str">
        <x:v>未开始</x:v>
      </x:c>
      <x:c r="O124" s="85" t="n">
        <x:v>0</x:v>
      </x:c>
      <x:c r="P124" s="60" t="str">
        <x:v>P0</x:v>
      </x:c>
      <x:c r="Q124" s="60" t="str"/>
      <x:c r="R124" s="64" t="n">
        <x:f>IF(OR(N124="已完成",N124="不适用"),0,MAX(0,TODAY()-F124))</x:f>
        <x:v>0</x:v>
      </x:c>
    </x:row>
    <x:row r="125">
      <x:c r="A125" s="63" t="str">
        <x:v>P2.9.5.2</x:v>
      </x:c>
      <x:c r="B125" s="60" t="str">
        <x:v>P2</x:v>
      </x:c>
      <x:c r="C125" s="60" t="str">
        <x:v>评测验收与推广</x:v>
      </x:c>
      <x:c r="D125" s="60" t="str">
        <x:v>科室UAT和业务签字：完成评审并纳入版本基线</x:v>
      </x:c>
      <x:c r="E125" s="81" t="n">
        <x:v>46400</x:v>
      </x:c>
      <x:c r="F125" s="81" t="n">
        <x:v>46402</x:v>
      </x:c>
      <x:c r="G125" s="60" t="n">
        <x:v>3</x:v>
      </x:c>
      <x:c r="H125" s="60" t="str"/>
      <x:c r="I125" s="60" t="str">
        <x:v>评级办/项目办</x:v>
      </x:c>
      <x:c r="J125" s="60" t="str">
        <x:v>工作流负责人</x:v>
      </x:c>
      <x:c r="K125" s="60" t="str">
        <x:v>相关业务科室/厂商</x:v>
      </x:c>
      <x:c r="L125" s="60" t="str">
        <x:v>评审纪要、问题清单和版本基线</x:v>
      </x:c>
      <x:c r="M125" s="60" t="str">
        <x:v>业务、技术、测试共同签字，证据可追溯</x:v>
      </x:c>
      <x:c r="N125" s="60" t="str">
        <x:v>未开始</x:v>
      </x:c>
      <x:c r="O125" s="85" t="n">
        <x:v>0</x:v>
      </x:c>
      <x:c r="P125" s="60" t="str">
        <x:v>P0</x:v>
      </x:c>
      <x:c r="Q125" s="60" t="str"/>
      <x:c r="R125" s="64" t="n">
        <x:f>IF(OR(N125="已完成",N125="不适用"),0,MAX(0,TODAY()-F125))</x:f>
        <x:v>0</x:v>
      </x:c>
    </x:row>
    <x:row r="126">
      <x:c r="A126" s="63" t="str">
        <x:v>P2.9.6.1</x:v>
      </x:c>
      <x:c r="B126" s="60" t="str">
        <x:v>P2</x:v>
      </x:c>
      <x:c r="C126" s="60" t="str">
        <x:v>评测验收与推广</x:v>
      </x:c>
      <x:c r="D126" s="60" t="str">
        <x:v>模拟测评和整改</x:v>
      </x:c>
      <x:c r="E126" s="81" t="n">
        <x:v>46403</x:v>
      </x:c>
      <x:c r="F126" s="81" t="n">
        <x:v>46407</x:v>
      </x:c>
      <x:c r="G126" s="60" t="n">
        <x:v>5</x:v>
      </x:c>
      <x:c r="H126" s="60" t="str"/>
      <x:c r="I126" s="60" t="str">
        <x:v>评级办/项目办</x:v>
      </x:c>
      <x:c r="J126" s="60" t="str">
        <x:v>工作流负责人</x:v>
      </x:c>
      <x:c r="K126" s="60" t="str">
        <x:v>相关业务科室/厂商</x:v>
      </x:c>
      <x:c r="L126" s="60" t="str">
        <x:v>经评审的模拟测评和整改交付物</x:v>
      </x:c>
      <x:c r="M126" s="60" t="str">
        <x:v>内容完整、可执行、与总体模型和标准一致</x:v>
      </x:c>
      <x:c r="N126" s="60" t="str">
        <x:v>未开始</x:v>
      </x:c>
      <x:c r="O126" s="85" t="n">
        <x:v>0</x:v>
      </x:c>
      <x:c r="P126" s="60" t="str">
        <x:v>P0</x:v>
      </x:c>
      <x:c r="Q126" s="60" t="str"/>
      <x:c r="R126" s="64" t="n">
        <x:f>IF(OR(N126="已完成",N126="不适用"),0,MAX(0,TODAY()-F126))</x:f>
        <x:v>0</x:v>
      </x:c>
    </x:row>
    <x:row r="127">
      <x:c r="A127" s="63" t="str">
        <x:v>P2.9.6.2</x:v>
      </x:c>
      <x:c r="B127" s="60" t="str">
        <x:v>P2</x:v>
      </x:c>
      <x:c r="C127" s="60" t="str">
        <x:v>评测验收与推广</x:v>
      </x:c>
      <x:c r="D127" s="60" t="str">
        <x:v>模拟测评和整改：完成评审并纳入版本基线</x:v>
      </x:c>
      <x:c r="E127" s="81" t="n">
        <x:v>46407</x:v>
      </x:c>
      <x:c r="F127" s="81" t="n">
        <x:v>46409</x:v>
      </x:c>
      <x:c r="G127" s="60" t="n">
        <x:v>3</x:v>
      </x:c>
      <x:c r="H127" s="60" t="str"/>
      <x:c r="I127" s="60" t="str">
        <x:v>评级办/项目办</x:v>
      </x:c>
      <x:c r="J127" s="60" t="str">
        <x:v>工作流负责人</x:v>
      </x:c>
      <x:c r="K127" s="60" t="str">
        <x:v>相关业务科室/厂商</x:v>
      </x:c>
      <x:c r="L127" s="60" t="str">
        <x:v>评审纪要、问题清单和版本基线</x:v>
      </x:c>
      <x:c r="M127" s="60" t="str">
        <x:v>业务、技术、测试共同签字，证据可追溯</x:v>
      </x:c>
      <x:c r="N127" s="60" t="str">
        <x:v>未开始</x:v>
      </x:c>
      <x:c r="O127" s="85" t="n">
        <x:v>0</x:v>
      </x:c>
      <x:c r="P127" s="60" t="str">
        <x:v>P0</x:v>
      </x:c>
      <x:c r="Q127" s="60" t="str"/>
      <x:c r="R127" s="64" t="n">
        <x:f>IF(OR(N127="已完成",N127="不适用"),0,MAX(0,TODAY()-F127))</x:f>
        <x:v>0</x:v>
      </x:c>
    </x:row>
    <x:row r="128">
      <x:c r="A128" s="63" t="str">
        <x:v>P2.9.7.1</x:v>
      </x:c>
      <x:c r="B128" s="60" t="str">
        <x:v>P2</x:v>
      </x:c>
      <x:c r="C128" s="60" t="str">
        <x:v>评测验收与推广</x:v>
      </x:c>
      <x:c r="D128" s="60" t="str">
        <x:v>冻结申报版本配置基线证据包</x:v>
      </x:c>
      <x:c r="E128" s="81" t="n">
        <x:v>46410</x:v>
      </x:c>
      <x:c r="F128" s="81" t="n">
        <x:v>46414</x:v>
      </x:c>
      <x:c r="G128" s="60" t="n">
        <x:v>5</x:v>
      </x:c>
      <x:c r="H128" s="60" t="str"/>
      <x:c r="I128" s="60" t="str">
        <x:v>评级办/项目办</x:v>
      </x:c>
      <x:c r="J128" s="60" t="str">
        <x:v>工作流负责人</x:v>
      </x:c>
      <x:c r="K128" s="60" t="str">
        <x:v>相关业务科室/厂商</x:v>
      </x:c>
      <x:c r="L128" s="60" t="str">
        <x:v>经评审的冻结申报版本配置基线证据包交付物</x:v>
      </x:c>
      <x:c r="M128" s="60" t="str">
        <x:v>内容完整、可执行、与总体模型和标准一致</x:v>
      </x:c>
      <x:c r="N128" s="60" t="str">
        <x:v>未开始</x:v>
      </x:c>
      <x:c r="O128" s="85" t="n">
        <x:v>0</x:v>
      </x:c>
      <x:c r="P128" s="60" t="str">
        <x:v>P0</x:v>
      </x:c>
      <x:c r="Q128" s="60" t="str"/>
      <x:c r="R128" s="64" t="n">
        <x:f>IF(OR(N128="已完成",N128="不适用"),0,MAX(0,TODAY()-F128))</x:f>
        <x:v>0</x:v>
      </x:c>
    </x:row>
    <x:row r="129">
      <x:c r="A129" s="63" t="str">
        <x:v>P2.9.7.2</x:v>
      </x:c>
      <x:c r="B129" s="60" t="str">
        <x:v>P2</x:v>
      </x:c>
      <x:c r="C129" s="60" t="str">
        <x:v>评测验收与推广</x:v>
      </x:c>
      <x:c r="D129" s="60" t="str">
        <x:v>冻结申报版本配置基线证据包：完成评审并纳入版本基线</x:v>
      </x:c>
      <x:c r="E129" s="81" t="n">
        <x:v>46414</x:v>
      </x:c>
      <x:c r="F129" s="81" t="n">
        <x:v>46416</x:v>
      </x:c>
      <x:c r="G129" s="60" t="n">
        <x:v>3</x:v>
      </x:c>
      <x:c r="H129" s="60" t="str"/>
      <x:c r="I129" s="60" t="str">
        <x:v>评级办/项目办</x:v>
      </x:c>
      <x:c r="J129" s="60" t="str">
        <x:v>工作流负责人</x:v>
      </x:c>
      <x:c r="K129" s="60" t="str">
        <x:v>相关业务科室/厂商</x:v>
      </x:c>
      <x:c r="L129" s="60" t="str">
        <x:v>评审纪要、问题清单和版本基线</x:v>
      </x:c>
      <x:c r="M129" s="60" t="str">
        <x:v>业务、技术、测试共同签字，证据可追溯</x:v>
      </x:c>
      <x:c r="N129" s="60" t="str">
        <x:v>未开始</x:v>
      </x:c>
      <x:c r="O129" s="85" t="n">
        <x:v>0</x:v>
      </x:c>
      <x:c r="P129" s="60" t="str">
        <x:v>P0</x:v>
      </x:c>
      <x:c r="Q129" s="60" t="str"/>
      <x:c r="R129" s="64" t="n">
        <x:f>IF(OR(N129="已完成",N129="不适用"),0,MAX(0,TODAY()-F129))</x:f>
        <x:v>0</x:v>
      </x:c>
    </x:row>
    <x:row r="130">
      <x:c r="A130" s="63" t="str">
        <x:v>P2.9.8.1</x:v>
      </x:c>
      <x:c r="B130" s="60" t="str">
        <x:v>P2</x:v>
      </x:c>
      <x:c r="C130" s="60" t="str">
        <x:v>评测验收与推广</x:v>
      </x:c>
      <x:c r="D130" s="60" t="str">
        <x:v>上线切换回退和值守</x:v>
      </x:c>
      <x:c r="E130" s="81" t="n">
        <x:v>46417</x:v>
      </x:c>
      <x:c r="F130" s="81" t="n">
        <x:v>46421</x:v>
      </x:c>
      <x:c r="G130" s="60" t="n">
        <x:v>5</x:v>
      </x:c>
      <x:c r="H130" s="60" t="str"/>
      <x:c r="I130" s="60" t="str">
        <x:v>评级办/项目办</x:v>
      </x:c>
      <x:c r="J130" s="60" t="str">
        <x:v>工作流负责人</x:v>
      </x:c>
      <x:c r="K130" s="60" t="str">
        <x:v>相关业务科室/厂商</x:v>
      </x:c>
      <x:c r="L130" s="60" t="str">
        <x:v>经评审的上线切换回退和值守交付物</x:v>
      </x:c>
      <x:c r="M130" s="60" t="str">
        <x:v>内容完整、可执行、与总体模型和标准一致</x:v>
      </x:c>
      <x:c r="N130" s="60" t="str">
        <x:v>未开始</x:v>
      </x:c>
      <x:c r="O130" s="85" t="n">
        <x:v>0</x:v>
      </x:c>
      <x:c r="P130" s="60" t="str">
        <x:v>P0</x:v>
      </x:c>
      <x:c r="Q130" s="60" t="str"/>
      <x:c r="R130" s="64" t="n">
        <x:f>IF(OR(N130="已完成",N130="不适用"),0,MAX(0,TODAY()-F130))</x:f>
        <x:v>0</x:v>
      </x:c>
    </x:row>
    <x:row r="131">
      <x:c r="A131" s="63" t="str">
        <x:v>P2.9.8.2</x:v>
      </x:c>
      <x:c r="B131" s="60" t="str">
        <x:v>P2</x:v>
      </x:c>
      <x:c r="C131" s="60" t="str">
        <x:v>评测验收与推广</x:v>
      </x:c>
      <x:c r="D131" s="60" t="str">
        <x:v>上线切换回退和值守：完成评审并纳入版本基线</x:v>
      </x:c>
      <x:c r="E131" s="81" t="n">
        <x:v>46421</x:v>
      </x:c>
      <x:c r="F131" s="81" t="n">
        <x:v>46423</x:v>
      </x:c>
      <x:c r="G131" s="60" t="n">
        <x:v>3</x:v>
      </x:c>
      <x:c r="H131" s="60" t="str"/>
      <x:c r="I131" s="60" t="str">
        <x:v>评级办/项目办</x:v>
      </x:c>
      <x:c r="J131" s="60" t="str">
        <x:v>工作流负责人</x:v>
      </x:c>
      <x:c r="K131" s="60" t="str">
        <x:v>相关业务科室/厂商</x:v>
      </x:c>
      <x:c r="L131" s="60" t="str">
        <x:v>评审纪要、问题清单和版本基线</x:v>
      </x:c>
      <x:c r="M131" s="60" t="str">
        <x:v>业务、技术、测试共同签字，证据可追溯</x:v>
      </x:c>
      <x:c r="N131" s="60" t="str">
        <x:v>未开始</x:v>
      </x:c>
      <x:c r="O131" s="85" t="n">
        <x:v>0</x:v>
      </x:c>
      <x:c r="P131" s="60" t="str">
        <x:v>P0</x:v>
      </x:c>
      <x:c r="Q131" s="60" t="str"/>
      <x:c r="R131" s="64" t="n">
        <x:f>IF(OR(N131="已完成",N131="不适用"),0,MAX(0,TODAY()-F131))</x:f>
        <x:v>0</x:v>
      </x:c>
    </x:row>
    <x:row r="132">
      <x:c r="A132" s="63" t="str">
        <x:v>P2.9.9.1</x:v>
      </x:c>
      <x:c r="B132" s="60" t="str">
        <x:v>P2</x:v>
      </x:c>
      <x:c r="C132" s="60" t="str">
        <x:v>评测验收与推广</x:v>
      </x:c>
      <x:c r="D132" s="60" t="str">
        <x:v>用户培训岗位手册知识转移</x:v>
      </x:c>
      <x:c r="E132" s="81" t="n">
        <x:v>46424</x:v>
      </x:c>
      <x:c r="F132" s="81" t="n">
        <x:v>46428</x:v>
      </x:c>
      <x:c r="G132" s="60" t="n">
        <x:v>5</x:v>
      </x:c>
      <x:c r="H132" s="60" t="str"/>
      <x:c r="I132" s="60" t="str">
        <x:v>评级办/项目办</x:v>
      </x:c>
      <x:c r="J132" s="60" t="str">
        <x:v>工作流负责人</x:v>
      </x:c>
      <x:c r="K132" s="60" t="str">
        <x:v>相关业务科室/厂商</x:v>
      </x:c>
      <x:c r="L132" s="60" t="str">
        <x:v>经评审的用户培训岗位手册知识转移交付物</x:v>
      </x:c>
      <x:c r="M132" s="60" t="str">
        <x:v>内容完整、可执行、与总体模型和标准一致</x:v>
      </x:c>
      <x:c r="N132" s="60" t="str">
        <x:v>未开始</x:v>
      </x:c>
      <x:c r="O132" s="85" t="n">
        <x:v>0</x:v>
      </x:c>
      <x:c r="P132" s="60" t="str">
        <x:v>P0</x:v>
      </x:c>
      <x:c r="Q132" s="60" t="str"/>
      <x:c r="R132" s="64" t="n">
        <x:f>IF(OR(N132="已完成",N132="不适用"),0,MAX(0,TODAY()-F132))</x:f>
        <x:v>0</x:v>
      </x:c>
    </x:row>
    <x:row r="133">
      <x:c r="A133" s="63" t="str">
        <x:v>P2.9.9.2</x:v>
      </x:c>
      <x:c r="B133" s="60" t="str">
        <x:v>P2</x:v>
      </x:c>
      <x:c r="C133" s="60" t="str">
        <x:v>评测验收与推广</x:v>
      </x:c>
      <x:c r="D133" s="60" t="str">
        <x:v>用户培训岗位手册知识转移：完成评审并纳入版本基线</x:v>
      </x:c>
      <x:c r="E133" s="81" t="n">
        <x:v>46428</x:v>
      </x:c>
      <x:c r="F133" s="81" t="n">
        <x:v>46430</x:v>
      </x:c>
      <x:c r="G133" s="60" t="n">
        <x:v>3</x:v>
      </x:c>
      <x:c r="H133" s="60" t="str"/>
      <x:c r="I133" s="60" t="str">
        <x:v>评级办/项目办</x:v>
      </x:c>
      <x:c r="J133" s="60" t="str">
        <x:v>工作流负责人</x:v>
      </x:c>
      <x:c r="K133" s="60" t="str">
        <x:v>相关业务科室/厂商</x:v>
      </x:c>
      <x:c r="L133" s="60" t="str">
        <x:v>评审纪要、问题清单和版本基线</x:v>
      </x:c>
      <x:c r="M133" s="60" t="str">
        <x:v>业务、技术、测试共同签字，证据可追溯</x:v>
      </x:c>
      <x:c r="N133" s="60" t="str">
        <x:v>未开始</x:v>
      </x:c>
      <x:c r="O133" s="85" t="n">
        <x:v>0</x:v>
      </x:c>
      <x:c r="P133" s="60" t="str">
        <x:v>P0</x:v>
      </x:c>
      <x:c r="Q133" s="60" t="str"/>
      <x:c r="R133" s="64" t="n">
        <x:f>IF(OR(N133="已完成",N133="不适用"),0,MAX(0,TODAY()-F133))</x:f>
        <x:v>0</x:v>
      </x:c>
    </x:row>
    <x:row r="134">
      <x:c r="A134" s="63" t="str">
        <x:v>P2.9.10.1</x:v>
      </x:c>
      <x:c r="B134" s="60" t="str">
        <x:v>P2</x:v>
      </x:c>
      <x:c r="C134" s="60" t="str">
        <x:v>评测验收与推广</x:v>
      </x:c>
      <x:c r="D134" s="60" t="str">
        <x:v>上线90天稳定观察和改进</x:v>
      </x:c>
      <x:c r="E134" s="81" t="n">
        <x:v>46431</x:v>
      </x:c>
      <x:c r="F134" s="81" t="n">
        <x:v>46435</x:v>
      </x:c>
      <x:c r="G134" s="60" t="n">
        <x:v>5</x:v>
      </x:c>
      <x:c r="H134" s="60" t="str"/>
      <x:c r="I134" s="60" t="str">
        <x:v>评级办/项目办</x:v>
      </x:c>
      <x:c r="J134" s="60" t="str">
        <x:v>工作流负责人</x:v>
      </x:c>
      <x:c r="K134" s="60" t="str">
        <x:v>相关业务科室/厂商</x:v>
      </x:c>
      <x:c r="L134" s="60" t="str">
        <x:v>经评审的上线90天稳定观察和改进交付物</x:v>
      </x:c>
      <x:c r="M134" s="60" t="str">
        <x:v>内容完整、可执行、与总体模型和标准一致</x:v>
      </x:c>
      <x:c r="N134" s="60" t="str">
        <x:v>未开始</x:v>
      </x:c>
      <x:c r="O134" s="85" t="n">
        <x:v>0</x:v>
      </x:c>
      <x:c r="P134" s="60" t="str">
        <x:v>P0</x:v>
      </x:c>
      <x:c r="Q134" s="60" t="str"/>
      <x:c r="R134" s="64" t="n">
        <x:f>IF(OR(N134="已完成",N134="不适用"),0,MAX(0,TODAY()-F134))</x:f>
        <x:v>0</x:v>
      </x:c>
    </x:row>
    <x:row r="135">
      <x:c r="A135" s="63" t="str">
        <x:v>P2.9.10.2</x:v>
      </x:c>
      <x:c r="B135" s="60" t="str">
        <x:v>P2</x:v>
      </x:c>
      <x:c r="C135" s="60" t="str">
        <x:v>评测验收与推广</x:v>
      </x:c>
      <x:c r="D135" s="60" t="str">
        <x:v>上线90天稳定观察和改进：完成评审并纳入版本基线</x:v>
      </x:c>
      <x:c r="E135" s="81" t="n">
        <x:v>46435</x:v>
      </x:c>
      <x:c r="F135" s="81" t="n">
        <x:v>46437</x:v>
      </x:c>
      <x:c r="G135" s="60" t="n">
        <x:v>3</x:v>
      </x:c>
      <x:c r="H135" s="60" t="str"/>
      <x:c r="I135" s="60" t="str">
        <x:v>评级办/项目办</x:v>
      </x:c>
      <x:c r="J135" s="60" t="str">
        <x:v>工作流负责人</x:v>
      </x:c>
      <x:c r="K135" s="60" t="str">
        <x:v>相关业务科室/厂商</x:v>
      </x:c>
      <x:c r="L135" s="60" t="str">
        <x:v>评审纪要、问题清单和版本基线</x:v>
      </x:c>
      <x:c r="M135" s="60" t="str">
        <x:v>业务、技术、测试共同签字，证据可追溯</x:v>
      </x:c>
      <x:c r="N135" s="60" t="str">
        <x:v>未开始</x:v>
      </x:c>
      <x:c r="O135" s="85" t="n">
        <x:v>0</x:v>
      </x:c>
      <x:c r="P135" s="60" t="str">
        <x:v>P0</x:v>
      </x:c>
      <x:c r="Q135" s="60" t="str"/>
      <x:c r="R135" s="64" t="n">
        <x:f>IF(OR(N135="已完成",N135="不适用"),0,MAX(0,TODAY()-F135))</x:f>
        <x:v>0</x:v>
      </x:c>
    </x:row>
    <x:row r="136">
      <x:c r="A136" s="63" t="str">
        <x:v>P4.10.1.1</x:v>
      </x:c>
      <x:c r="B136" s="60" t="str">
        <x:v>P4</x:v>
      </x:c>
      <x:c r="C136" s="60" t="str">
        <x:v>科研与AI</x:v>
      </x:c>
      <x:c r="D136" s="60" t="str">
        <x:v>设计科研数据集队列变量目录</x:v>
      </x:c>
      <x:c r="E136" s="81" t="n">
        <x:v>46662</x:v>
      </x:c>
      <x:c r="F136" s="81" t="n">
        <x:v>46666</x:v>
      </x:c>
      <x:c r="G136" s="60" t="n">
        <x:v>5</x:v>
      </x:c>
      <x:c r="H136" s="60" t="str"/>
      <x:c r="I136" s="60" t="str">
        <x:v>临床研究部</x:v>
      </x:c>
      <x:c r="J136" s="60" t="str">
        <x:v>工作流负责人</x:v>
      </x:c>
      <x:c r="K136" s="60" t="str">
        <x:v>相关业务科室/厂商</x:v>
      </x:c>
      <x:c r="L136" s="60" t="str">
        <x:v>经评审的设计科研数据集队列变量目录交付物</x:v>
      </x:c>
      <x:c r="M136" s="60" t="str">
        <x:v>内容完整、可执行、与总体模型和标准一致</x:v>
      </x:c>
      <x:c r="N136" s="60" t="str">
        <x:v>未开始</x:v>
      </x:c>
      <x:c r="O136" s="85" t="n">
        <x:v>0</x:v>
      </x:c>
      <x:c r="P136" s="60" t="str">
        <x:v>P1</x:v>
      </x:c>
      <x:c r="Q136" s="60" t="str"/>
      <x:c r="R136" s="64" t="n">
        <x:f>IF(OR(N136="已完成",N136="不适用"),0,MAX(0,TODAY()-F136))</x:f>
        <x:v>0</x:v>
      </x:c>
    </x:row>
    <x:row r="137">
      <x:c r="A137" s="63" t="str">
        <x:v>P4.10.2.1</x:v>
      </x:c>
      <x:c r="B137" s="60" t="str">
        <x:v>P4</x:v>
      </x:c>
      <x:c r="C137" s="60" t="str">
        <x:v>科研与AI</x:v>
      </x:c>
      <x:c r="D137" s="60" t="str">
        <x:v>伦理用途授权和数据审批</x:v>
      </x:c>
      <x:c r="E137" s="81" t="n">
        <x:v>46669</x:v>
      </x:c>
      <x:c r="F137" s="81" t="n">
        <x:v>46673</x:v>
      </x:c>
      <x:c r="G137" s="60" t="n">
        <x:v>5</x:v>
      </x:c>
      <x:c r="H137" s="60" t="str"/>
      <x:c r="I137" s="60" t="str">
        <x:v>临床研究部</x:v>
      </x:c>
      <x:c r="J137" s="60" t="str">
        <x:v>工作流负责人</x:v>
      </x:c>
      <x:c r="K137" s="60" t="str">
        <x:v>相关业务科室/厂商</x:v>
      </x:c>
      <x:c r="L137" s="60" t="str">
        <x:v>经评审的伦理用途授权和数据审批交付物</x:v>
      </x:c>
      <x:c r="M137" s="60" t="str">
        <x:v>内容完整、可执行、与总体模型和标准一致</x:v>
      </x:c>
      <x:c r="N137" s="60" t="str">
        <x:v>未开始</x:v>
      </x:c>
      <x:c r="O137" s="85" t="n">
        <x:v>0</x:v>
      </x:c>
      <x:c r="P137" s="60" t="str">
        <x:v>P1</x:v>
      </x:c>
      <x:c r="Q137" s="60" t="str"/>
      <x:c r="R137" s="64" t="n">
        <x:f>IF(OR(N137="已完成",N137="不适用"),0,MAX(0,TODAY()-F137))</x:f>
        <x:v>0</x:v>
      </x:c>
    </x:row>
    <x:row r="138">
      <x:c r="A138" s="63" t="str">
        <x:v>P4.10.3.1</x:v>
      </x:c>
      <x:c r="B138" s="60" t="str">
        <x:v>P4</x:v>
      </x:c>
      <x:c r="C138" s="60" t="str">
        <x:v>科研与AI</x:v>
      </x:c>
      <x:c r="D138" s="60" t="str">
        <x:v>去标识化和安全分析环境</x:v>
      </x:c>
      <x:c r="E138" s="81" t="n">
        <x:v>46676</x:v>
      </x:c>
      <x:c r="F138" s="81" t="n">
        <x:v>46680</x:v>
      </x:c>
      <x:c r="G138" s="60" t="n">
        <x:v>5</x:v>
      </x:c>
      <x:c r="H138" s="60" t="str"/>
      <x:c r="I138" s="60" t="str">
        <x:v>临床研究部</x:v>
      </x:c>
      <x:c r="J138" s="60" t="str">
        <x:v>工作流负责人</x:v>
      </x:c>
      <x:c r="K138" s="60" t="str">
        <x:v>相关业务科室/厂商</x:v>
      </x:c>
      <x:c r="L138" s="60" t="str">
        <x:v>经评审的去标识化和安全分析环境交付物</x:v>
      </x:c>
      <x:c r="M138" s="60" t="str">
        <x:v>内容完整、可执行、与总体模型和标准一致</x:v>
      </x:c>
      <x:c r="N138" s="60" t="str">
        <x:v>未开始</x:v>
      </x:c>
      <x:c r="O138" s="85" t="n">
        <x:v>0</x:v>
      </x:c>
      <x:c r="P138" s="60" t="str">
        <x:v>P1</x:v>
      </x:c>
      <x:c r="Q138" s="60" t="str"/>
      <x:c r="R138" s="64" t="n">
        <x:f>IF(OR(N138="已完成",N138="不适用"),0,MAX(0,TODAY()-F138))</x:f>
        <x:v>0</x:v>
      </x:c>
    </x:row>
    <x:row r="139">
      <x:c r="A139" s="63" t="str">
        <x:v>P4.10.4.1</x:v>
      </x:c>
      <x:c r="B139" s="60" t="str">
        <x:v>P4</x:v>
      </x:c>
      <x:c r="C139" s="60" t="str">
        <x:v>科研与AI</x:v>
      </x:c>
      <x:c r="D139" s="60" t="str">
        <x:v>OMOP/FHIR研究映射和质量门禁</x:v>
      </x:c>
      <x:c r="E139" s="81" t="n">
        <x:v>46683</x:v>
      </x:c>
      <x:c r="F139" s="81" t="n">
        <x:v>46687</x:v>
      </x:c>
      <x:c r="G139" s="60" t="n">
        <x:v>5</x:v>
      </x:c>
      <x:c r="H139" s="60" t="str"/>
      <x:c r="I139" s="60" t="str">
        <x:v>临床研究部</x:v>
      </x:c>
      <x:c r="J139" s="60" t="str">
        <x:v>工作流负责人</x:v>
      </x:c>
      <x:c r="K139" s="60" t="str">
        <x:v>相关业务科室/厂商</x:v>
      </x:c>
      <x:c r="L139" s="60" t="str">
        <x:v>经评审的OMOP/FHIR研究映射和质量门禁交付物</x:v>
      </x:c>
      <x:c r="M139" s="60" t="str">
        <x:v>内容完整、可执行、与总体模型和标准一致</x:v>
      </x:c>
      <x:c r="N139" s="60" t="str">
        <x:v>未开始</x:v>
      </x:c>
      <x:c r="O139" s="85" t="n">
        <x:v>0</x:v>
      </x:c>
      <x:c r="P139" s="60" t="str">
        <x:v>P1</x:v>
      </x:c>
      <x:c r="Q139" s="60" t="str"/>
      <x:c r="R139" s="64" t="n">
        <x:f>IF(OR(N139="已完成",N139="不适用"),0,MAX(0,TODAY()-F139))</x:f>
        <x:v>0</x:v>
      </x:c>
    </x:row>
    <x:row r="140">
      <x:c r="A140" s="63" t="str">
        <x:v>P4.10.5.1</x:v>
      </x:c>
      <x:c r="B140" s="60" t="str">
        <x:v>P4</x:v>
      </x:c>
      <x:c r="C140" s="60" t="str">
        <x:v>科研与AI</x:v>
      </x:c>
      <x:c r="D140" s="60" t="str">
        <x:v>可复用特征目录和血缘</x:v>
      </x:c>
      <x:c r="E140" s="81" t="n">
        <x:v>46690</x:v>
      </x:c>
      <x:c r="F140" s="81" t="n">
        <x:v>46694</x:v>
      </x:c>
      <x:c r="G140" s="60" t="n">
        <x:v>5</x:v>
      </x:c>
      <x:c r="H140" s="60" t="str"/>
      <x:c r="I140" s="60" t="str">
        <x:v>临床研究部</x:v>
      </x:c>
      <x:c r="J140" s="60" t="str">
        <x:v>工作流负责人</x:v>
      </x:c>
      <x:c r="K140" s="60" t="str">
        <x:v>相关业务科室/厂商</x:v>
      </x:c>
      <x:c r="L140" s="60" t="str">
        <x:v>经评审的可复用特征目录和血缘交付物</x:v>
      </x:c>
      <x:c r="M140" s="60" t="str">
        <x:v>内容完整、可执行、与总体模型和标准一致</x:v>
      </x:c>
      <x:c r="N140" s="60" t="str">
        <x:v>未开始</x:v>
      </x:c>
      <x:c r="O140" s="85" t="n">
        <x:v>0</x:v>
      </x:c>
      <x:c r="P140" s="60" t="str">
        <x:v>P1</x:v>
      </x:c>
      <x:c r="Q140" s="60" t="str"/>
      <x:c r="R140" s="64" t="n">
        <x:f>IF(OR(N140="已完成",N140="不适用"),0,MAX(0,TODAY()-F140))</x:f>
        <x:v>0</x:v>
      </x:c>
    </x:row>
    <x:row r="141">
      <x:c r="A141" s="63" t="str">
        <x:v>P4.10.6.1</x:v>
      </x:c>
      <x:c r="B141" s="60" t="str">
        <x:v>P4</x:v>
      </x:c>
      <x:c r="C141" s="60" t="str">
        <x:v>科研与AI</x:v>
      </x:c>
      <x:c r="D141" s="60" t="str">
        <x:v>模型卡数据卡训练版本偏倚评估</x:v>
      </x:c>
      <x:c r="E141" s="81" t="n">
        <x:v>46697</x:v>
      </x:c>
      <x:c r="F141" s="81" t="n">
        <x:v>46701</x:v>
      </x:c>
      <x:c r="G141" s="60" t="n">
        <x:v>5</x:v>
      </x:c>
      <x:c r="H141" s="60" t="str"/>
      <x:c r="I141" s="60" t="str">
        <x:v>临床研究部</x:v>
      </x:c>
      <x:c r="J141" s="60" t="str">
        <x:v>工作流负责人</x:v>
      </x:c>
      <x:c r="K141" s="60" t="str">
        <x:v>相关业务科室/厂商</x:v>
      </x:c>
      <x:c r="L141" s="60" t="str">
        <x:v>经评审的模型卡数据卡训练版本偏倚评估交付物</x:v>
      </x:c>
      <x:c r="M141" s="60" t="str">
        <x:v>内容完整、可执行、与总体模型和标准一致</x:v>
      </x:c>
      <x:c r="N141" s="60" t="str">
        <x:v>未开始</x:v>
      </x:c>
      <x:c r="O141" s="85" t="n">
        <x:v>0</x:v>
      </x:c>
      <x:c r="P141" s="60" t="str">
        <x:v>P1</x:v>
      </x:c>
      <x:c r="Q141" s="60" t="str"/>
      <x:c r="R141" s="64" t="n">
        <x:f>IF(OR(N141="已完成",N141="不适用"),0,MAX(0,TODAY()-F141))</x:f>
        <x:v>0</x:v>
      </x:c>
    </x:row>
    <x:row r="142">
      <x:c r="A142" s="63" t="str">
        <x:v>P4.10.7.1</x:v>
      </x:c>
      <x:c r="B142" s="60" t="str">
        <x:v>P4</x:v>
      </x:c>
      <x:c r="C142" s="60" t="str">
        <x:v>科研与AI</x:v>
      </x:c>
      <x:c r="D142" s="60" t="str">
        <x:v>上线3类科研应用</x:v>
      </x:c>
      <x:c r="E142" s="81" t="n">
        <x:v>46704</x:v>
      </x:c>
      <x:c r="F142" s="81" t="n">
        <x:v>46708</x:v>
      </x:c>
      <x:c r="G142" s="60" t="n">
        <x:v>5</x:v>
      </x:c>
      <x:c r="H142" s="60" t="str"/>
      <x:c r="I142" s="60" t="str">
        <x:v>临床研究部</x:v>
      </x:c>
      <x:c r="J142" s="60" t="str">
        <x:v>工作流负责人</x:v>
      </x:c>
      <x:c r="K142" s="60" t="str">
        <x:v>相关业务科室/厂商</x:v>
      </x:c>
      <x:c r="L142" s="60" t="str">
        <x:v>经评审的上线3类科研应用交付物</x:v>
      </x:c>
      <x:c r="M142" s="60" t="str">
        <x:v>内容完整、可执行、与总体模型和标准一致</x:v>
      </x:c>
      <x:c r="N142" s="60" t="str">
        <x:v>未开始</x:v>
      </x:c>
      <x:c r="O142" s="85" t="n">
        <x:v>0</x:v>
      </x:c>
      <x:c r="P142" s="60" t="str">
        <x:v>P1</x:v>
      </x:c>
      <x:c r="Q142" s="60" t="str"/>
      <x:c r="R142" s="64" t="n">
        <x:f>IF(OR(N142="已完成",N142="不适用"),0,MAX(0,TODAY()-F142))</x:f>
        <x:v>0</x:v>
      </x:c>
    </x:row>
    <x:row r="143">
      <x:c r="A143" s="65" t="str">
        <x:v>P4.10.8.1</x:v>
      </x:c>
      <x:c r="B143" s="66" t="str">
        <x:v>P4</x:v>
      </x:c>
      <x:c r="C143" s="66" t="str">
        <x:v>科研与AI</x:v>
      </x:c>
      <x:c r="D143" s="66" t="str">
        <x:v>模型监测反馈和退役</x:v>
      </x:c>
      <x:c r="E143" s="82" t="n">
        <x:v>46711</x:v>
      </x:c>
      <x:c r="F143" s="82" t="n">
        <x:v>46715</x:v>
      </x:c>
      <x:c r="G143" s="66" t="n">
        <x:v>5</x:v>
      </x:c>
      <x:c r="H143" s="66" t="str"/>
      <x:c r="I143" s="66" t="str">
        <x:v>临床研究部</x:v>
      </x:c>
      <x:c r="J143" s="66" t="str">
        <x:v>工作流负责人</x:v>
      </x:c>
      <x:c r="K143" s="66" t="str">
        <x:v>相关业务科室/厂商</x:v>
      </x:c>
      <x:c r="L143" s="66" t="str">
        <x:v>经评审的模型监测反馈和退役交付物</x:v>
      </x:c>
      <x:c r="M143" s="66" t="str">
        <x:v>内容完整、可执行、与总体模型和标准一致</x:v>
      </x:c>
      <x:c r="N143" s="66" t="str">
        <x:v>未开始</x:v>
      </x:c>
      <x:c r="O143" s="86" t="n">
        <x:v>0</x:v>
      </x:c>
      <x:c r="P143" s="66" t="str">
        <x:v>P1</x:v>
      </x:c>
      <x:c r="Q143" s="66" t="str"/>
      <x:c r="R143" s="67" t="n">
        <x:f>IF(OR(N143="已完成",N143="不适用"),0,MAX(0,TODAY()-F143))</x:f>
        <x:v>0</x:v>
      </x:c>
    </x:row>
  </x:sheetData>
  <x:mergeCells>
    <x:mergeCell ref="A1:R1"/>
    <x:mergeCell ref="A2:R2"/>
  </x:mergeCells>
  <x:conditionalFormatting sqref="N5:N143">
    <x:cfRule type="expression" dxfId="0" priority="1">
      <x:formula>N5="已完成"</x:formula>
    </x:cfRule>
    <x:cfRule type="expression" dxfId="1" priority="2">
      <x:formula>N5="进行中"</x:formula>
    </x:cfRule>
    <x:cfRule type="expression" dxfId="2" priority="3">
      <x:formula>N5="阻塞"</x:formula>
    </x:cfRule>
    <x:cfRule type="expression" dxfId="3" priority="4">
      <x:formula>N5="未开始"</x:formula>
    </x:cfRule>
  </x:conditionalFormatting>
  <x:conditionalFormatting sqref="O5:O143">
    <x:cfRule type="dataBar" priority="5">
      <x:dataBar>
        <x:cfvo type="min"/>
        <x:cfvo type="max"/>
        <x:color rgb="FF5B9BD5"/>
      </x:dataBar>
      <x:extLst>
        <x:ext xmlns:x14="http://schemas.microsoft.com/office/spreadsheetml/2009/9/main" uri="{B025F937-C7B1-47D3-B67F-A62EFF666E3E}">
          <x14:id>{4E166BDF-4DFE-7DE1-B030-AF6EBC2324B9}</x14:id>
        </x:ext>
      </x:extLst>
    </x:cfRule>
  </x:conditionalFormatting>
  <x:conditionalFormatting sqref="R5:R143">
    <x:cfRule type="cellIs" dxfId="4" priority="6" operator="greaterThan">
      <x:formula>0</x:formula>
    </x:cfRule>
  </x:conditionalFormatting>
  <x:dataValidations count="1">
    <x:dataValidation type="list" sqref="N5:N143">
      <x:formula1>"未开始,进行中,已完成,阻塞,不适用"</x:formula1>
    </x:dataValidation>
  </x:dataValidations>
  <x:pageMargins left="0.7" right="0.7" top="0.75" bottom="0.75" header="0.3" footer="0.3"/>
  <x:tableParts count="1">
    <x:tablePart xmlns:r="http://schemas.openxmlformats.org/officeDocument/2006/relationships" r:id="R4f5bcc95f10e44b5"/>
  </x:tableParts>
  <x:extLst>
    <x:ext xmlns:x14="http://schemas.microsoft.com/office/spreadsheetml/2009/9/main" xmlns:xm="http://schemas.microsoft.com/office/excel/2006/main" uri="{78C0D931-6437-407d-A8EE-F0AAD7539E65}">
      <x14:conditionalFormattings>
        <x14:conditionalFormatting>
          <x14:cfRule type="dataBar" priority="5" id="{4E166BDF-4DFE-7DE1-B030-AF6EBC2324B9}">
            <x14:dataBar gradient="1">
              <x14:cfvo type="min"/>
              <x14:cfvo type="max"/>
              <x14:fillColor rgb="FF5B9BD5"/>
            </x14:dataBar>
          </x14:cfRule>
          <xm:sqref>O5:O143</xm:sqref>
        </x14:conditionalFormatting>
      </x14:conditionalFormattings>
    </x:ext>
  </x:extLst>
</x:worksheet>
</file>

<file path=xl/worksheets/sheet3.xml><?xml version="1.0" encoding="utf-8"?>
<x:worksheet xmlns:x="http://schemas.openxmlformats.org/spreadsheetml/2006/main">
  <x:sheetFormatPr defaultRowHeight="15"/>
  <x:cols>
    <x:col min="1" max="1" width="12" hidden="0" customWidth="1"/>
    <x:col min="2" max="2" width="30" hidden="0" customWidth="1"/>
    <x:col min="3" max="3" width="10" hidden="0" customWidth="1"/>
    <x:col min="4" max="4" width="55" hidden="0" customWidth="1"/>
    <x:col min="5" max="5" width="14" hidden="0" customWidth="1"/>
    <x:col min="6" max="6" width="12" hidden="0" customWidth="1"/>
    <x:col min="7" max="7" width="14" hidden="0" customWidth="1"/>
    <x:col min="8" max="8" width="20" hidden="0" customWidth="1"/>
    <x:col min="9" max="9" width="34" hidden="0" customWidth="1"/>
  </x:cols>
  <x:sheetData>
    <x:row r="1" ht="30" customHeight="1">
      <x:c r="A1" s="5" t="str">
        <x:v>实施里程碑与阶段退出门禁</x:v>
      </x:c>
      <x:c r="B1" s="5"/>
      <x:c r="C1" s="5"/>
      <x:c r="D1" s="5"/>
      <x:c r="E1" s="5"/>
      <x:c r="F1" s="5"/>
      <x:c r="G1" s="5"/>
      <x:c r="H1" s="5"/>
      <x:c r="I1" s="5"/>
    </x:row>
    <x:row r="2" ht="28" customHeight="1">
      <x:c r="A2" s="12" t="str">
        <x:v>里程碑不是时间点而是退出准则；未满足数据质量、安全、临床安全或证据要求不得通过。</x:v>
      </x:c>
      <x:c r="B2" s="12"/>
      <x:c r="C2" s="12"/>
      <x:c r="D2" s="12"/>
      <x:c r="E2" s="12"/>
      <x:c r="F2" s="12"/>
      <x:c r="G2" s="12"/>
      <x:c r="H2" s="12"/>
      <x:c r="I2" s="12"/>
    </x:row>
    <x:row r="4">
      <x:c r="A4" s="40" t="str">
        <x:v>编号</x:v>
      </x:c>
      <x:c r="B4" s="41" t="str">
        <x:v>里程碑</x:v>
      </x:c>
      <x:c r="C4" s="41" t="str">
        <x:v>阶段</x:v>
      </x:c>
      <x:c r="D4" s="41" t="str">
        <x:v>退出准则</x:v>
      </x:c>
      <x:c r="E4" s="41" t="str">
        <x:v>目标日期</x:v>
      </x:c>
      <x:c r="F4" s="41" t="str">
        <x:v>状态</x:v>
      </x:c>
      <x:c r="G4" s="41" t="str">
        <x:v>实际日期</x:v>
      </x:c>
      <x:c r="H4" s="41" t="str">
        <x:v>负责人</x:v>
      </x:c>
      <x:c r="I4" s="42" t="str">
        <x:v>证据链接</x:v>
      </x:c>
    </x:row>
    <x:row r="5">
      <x:c r="A5" s="63" t="str">
        <x:v>MS01</x:v>
      </x:c>
      <x:c r="B5" s="60" t="str">
        <x:v>立项与治理组织生效</x:v>
      </x:c>
      <x:c r="C5" s="60" t="str">
        <x:v>P0</x:v>
      </x:c>
      <x:c r="D5" s="60" t="str">
        <x:v>章程、任命、制度框架和现状评估完成</x:v>
      </x:c>
      <x:c r="E5" s="81" t="n">
        <x:v>46280</x:v>
      </x:c>
      <x:c r="F5" s="81" t="str">
        <x:v>未开始</x:v>
      </x:c>
      <x:c r="G5" s="81" t="str"/>
      <x:c r="H5" s="60" t="str">
        <x:v>项目办</x:v>
      </x:c>
      <x:c r="I5" s="64" t="str"/>
    </x:row>
    <x:row r="6">
      <x:c r="A6" s="63" t="str">
        <x:v>MS02</x:v>
      </x:c>
      <x:c r="B6" s="60" t="str">
        <x:v>P0标准与MDM试点上线</x:v>
      </x:c>
      <x:c r="C6" s="60" t="str">
        <x:v>P1</x:v>
      </x:c>
      <x:c r="D6" s="60" t="str">
        <x:v>患者/科室/人员/术语试点，质量门禁与目录可用</x:v>
      </x:c>
      <x:c r="E6" s="81" t="n">
        <x:v>46387</x:v>
      </x:c>
      <x:c r="F6" s="81" t="str">
        <x:v>未开始</x:v>
      </x:c>
      <x:c r="G6" s="81" t="str"/>
      <x:c r="H6" s="60" t="str">
        <x:v>项目办</x:v>
      </x:c>
      <x:c r="I6" s="64" t="str"/>
    </x:row>
    <x:row r="7">
      <x:c r="A7" s="63" t="str">
        <x:v>MS03</x:v>
      </x:c>
      <x:c r="B7" s="60" t="str">
        <x:v>CDR与五乙服务基本成型</x:v>
      </x:c>
      <x:c r="C7" s="60" t="str">
        <x:v>P2</x:v>
      </x:c>
      <x:c r="D7" s="60" t="str">
        <x:v>核心模型、共享文档、服务、18+10系统接入</x:v>
      </x:c>
      <x:c r="E7" s="81" t="n">
        <x:v>46507</x:v>
      </x:c>
      <x:c r="F7" s="81" t="str">
        <x:v>未开始</x:v>
      </x:c>
      <x:c r="G7" s="81" t="str"/>
      <x:c r="H7" s="60" t="str">
        <x:v>项目办</x:v>
      </x:c>
      <x:c r="I7" s="64" t="str"/>
    </x:row>
    <x:row r="8">
      <x:c r="A8" s="63" t="str">
        <x:v>MS04</x:v>
      </x:c>
      <x:c r="B8" s="60" t="str">
        <x:v>五乙模拟评测通过</x:v>
      </x:c>
      <x:c r="C8" s="60" t="str">
        <x:v>P2</x:v>
      </x:c>
      <x:c r="D8" s="60" t="str">
        <x:v>各维度达内部目标，外联7家，证据完整</x:v>
      </x:c>
      <x:c r="E8" s="81" t="n">
        <x:v>46599</x:v>
      </x:c>
      <x:c r="F8" s="81" t="str">
        <x:v>未开始</x:v>
      </x:c>
      <x:c r="G8" s="81" t="str"/>
      <x:c r="H8" s="60" t="str">
        <x:v>项目办</x:v>
      </x:c>
      <x:c r="I8" s="64" t="str"/>
    </x:row>
    <x:row r="9">
      <x:c r="A9" s="63" t="str">
        <x:v>MS05</x:v>
      </x:c>
      <x:c r="B9" s="60" t="str">
        <x:v>首批六级闭环和CDSS上线</x:v>
      </x:c>
      <x:c r="C9" s="60" t="str">
        <x:v>P3</x:v>
      </x:c>
      <x:c r="D9" s="60" t="str">
        <x:v>6个闭环、4类知识库、2类CDSS/30节点</x:v>
      </x:c>
      <x:c r="E9" s="81" t="n">
        <x:v>46691</x:v>
      </x:c>
      <x:c r="F9" s="81" t="str">
        <x:v>未开始</x:v>
      </x:c>
      <x:c r="G9" s="81" t="str"/>
      <x:c r="H9" s="60" t="str">
        <x:v>项目办</x:v>
      </x:c>
      <x:c r="I9" s="64" t="str"/>
    </x:row>
    <x:row r="10">
      <x:c r="A10" s="63" t="str">
        <x:v>MS06</x:v>
      </x:c>
      <x:c r="B10" s="60" t="str">
        <x:v>EMR六级全院场景模拟通过</x:v>
      </x:c>
      <x:c r="C10" s="60" t="str">
        <x:v>P3</x:v>
      </x:c>
      <x:c r="D10" s="60" t="str">
        <x:v>10类角色关键场景闭环、CDSS和证据完备</x:v>
      </x:c>
      <x:c r="E10" s="81" t="n">
        <x:v>46783</x:v>
      </x:c>
      <x:c r="F10" s="81" t="str">
        <x:v>未开始</x:v>
      </x:c>
      <x:c r="G10" s="81" t="str"/>
      <x:c r="H10" s="60" t="str">
        <x:v>项目办</x:v>
      </x:c>
      <x:c r="I10" s="64" t="str"/>
    </x:row>
    <x:row r="11">
      <x:c r="A11" s="65" t="str">
        <x:v>MS07</x:v>
      </x:c>
      <x:c r="B11" s="66" t="str">
        <x:v>科研AI与持续运营</x:v>
      </x:c>
      <x:c r="C11" s="66" t="str">
        <x:v>P4</x:v>
      </x:c>
      <x:c r="D11" s="66" t="str">
        <x:v>3类科研应用、特征模型治理、KPI稳定</x:v>
      </x:c>
      <x:c r="E11" s="82" t="n">
        <x:v>46843</x:v>
      </x:c>
      <x:c r="F11" s="82" t="str">
        <x:v>未开始</x:v>
      </x:c>
      <x:c r="G11" s="82" t="str"/>
      <x:c r="H11" s="66" t="str">
        <x:v>项目办</x:v>
      </x:c>
      <x:c r="I11" s="67" t="str"/>
    </x:row>
  </x:sheetData>
  <x:mergeCells>
    <x:mergeCell ref="A1:I1"/>
    <x:mergeCell ref="A2:I2"/>
  </x:mergeCells>
  <x:conditionalFormatting sqref="F5:F11">
    <x:cfRule type="expression" dxfId="5" priority="1">
      <x:formula>F5="已完成"</x:formula>
    </x:cfRule>
    <x:cfRule type="expression" dxfId="6" priority="2">
      <x:formula>F5="进行中"</x:formula>
    </x:cfRule>
    <x:cfRule type="expression" dxfId="7" priority="3">
      <x:formula>F5="阻塞"</x:formula>
    </x:cfRule>
    <x:cfRule type="expression" dxfId="8" priority="4">
      <x:formula>F5="未开始"</x:formula>
    </x:cfRule>
  </x:conditionalFormatting>
  <x:dataValidations count="1">
    <x:dataValidation type="list" sqref="F5:F11">
      <x:formula1>"未开始,进行中,已完成,延期,取消"</x:formula1>
    </x:dataValidation>
  </x:dataValidations>
  <x:pageMargins left="0.7" right="0.7" top="0.75" bottom="0.75" header="0.3" footer="0.3"/>
  <x:tableParts count="1">
    <x:tablePart xmlns:r="http://schemas.openxmlformats.org/officeDocument/2006/relationships" r:id="Ra6d1ac64d14e4ce5"/>
  </x:tableParts>
</x:worksheet>
</file>

<file path=xl/worksheets/sheet4.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0" customHeight="1">
      <x:c r="A1" s="5" t="str">
        <x:v>医院数据治理职责分工矩阵</x:v>
      </x:c>
      <x:c r="B1" s="5"/>
      <x:c r="C1" s="5"/>
      <x:c r="D1" s="5"/>
      <x:c r="E1" s="5"/>
      <x:c r="F1" s="5"/>
      <x:c r="G1" s="5"/>
      <x:c r="H1" s="5"/>
      <x:c r="I1" s="5"/>
      <x:c r="J1" s="5"/>
      <x:c r="K1" s="5"/>
      <x:c r="L1" s="5"/>
      <x:c r="M1" s="5"/>
      <x:c r="N1" s="5"/>
    </x:row>
    <x:row r="2" ht="28" customHeight="1">
      <x:c r="A2" s="12" t="str">
        <x:v>R=负责执行，A=最终负责，C=协商，I=知会；每一流程应只有一个明确A。</x:v>
      </x:c>
      <x:c r="B2" s="12"/>
      <x:c r="C2" s="12"/>
      <x:c r="D2" s="12"/>
      <x:c r="E2" s="12"/>
      <x:c r="F2" s="12"/>
      <x:c r="G2" s="12"/>
      <x:c r="H2" s="12"/>
      <x:c r="I2" s="12"/>
      <x:c r="J2" s="12"/>
      <x:c r="K2" s="12"/>
      <x:c r="L2" s="12"/>
      <x:c r="M2" s="12"/>
      <x:c r="N2" s="12"/>
    </x:row>
    <x:row r="4">
      <x:c r="A4" s="40" t="str">
        <x:v>流程</x:v>
      </x:c>
      <x:c r="B4" s="41" t="str">
        <x:v>院领导/治理委员会</x:v>
      </x:c>
      <x:c r="C4" s="41" t="str">
        <x:v>治理办公室</x:v>
      </x:c>
      <x:c r="D4" s="41" t="str">
        <x:v>信息管理部</x:v>
      </x:c>
      <x:c r="E4" s="41" t="str">
        <x:v>医务部</x:v>
      </x:c>
      <x:c r="F4" s="41" t="str">
        <x:v>护理部</x:v>
      </x:c>
      <x:c r="G4" s="41" t="str">
        <x:v>质评部/病案室</x:v>
      </x:c>
      <x:c r="H4" s="41" t="str">
        <x:v>药学部</x:v>
      </x:c>
      <x:c r="I4" s="41" t="str">
        <x:v>检验/检查/输血</x:v>
      </x:c>
      <x:c r="J4" s="41" t="str">
        <x:v>组织人事部</x:v>
      </x:c>
      <x:c r="K4" s="41" t="str">
        <x:v>财务/医保</x:v>
      </x:c>
      <x:c r="L4" s="41" t="str">
        <x:v>网安办</x:v>
      </x:c>
      <x:c r="M4" s="41" t="str">
        <x:v>临床研究部</x:v>
      </x:c>
      <x:c r="N4" s="42" t="str">
        <x:v>供应商/实施方</x:v>
      </x:c>
    </x:row>
    <x:row r="5">
      <x:c r="A5" s="63" t="str">
        <x:v>数据治理战略与重大争议</x:v>
      </x:c>
      <x:c r="B5" s="60" t="str">
        <x:v>A</x:v>
      </x:c>
      <x:c r="C5" s="60" t="str">
        <x:v>R</x:v>
      </x:c>
      <x:c r="D5" s="60" t="str">
        <x:v>C</x:v>
      </x:c>
      <x:c r="E5" s="60" t="str">
        <x:v>C</x:v>
      </x:c>
      <x:c r="F5" s="60" t="str">
        <x:v>C</x:v>
      </x:c>
      <x:c r="G5" s="60" t="str">
        <x:v>C</x:v>
      </x:c>
      <x:c r="H5" s="60" t="str">
        <x:v>C</x:v>
      </x:c>
      <x:c r="I5" s="60" t="str">
        <x:v>C</x:v>
      </x:c>
      <x:c r="J5" s="60" t="str">
        <x:v>C</x:v>
      </x:c>
      <x:c r="K5" s="60" t="str">
        <x:v>C</x:v>
      </x:c>
      <x:c r="L5" s="60" t="str">
        <x:v>C</x:v>
      </x:c>
      <x:c r="M5" s="60" t="str">
        <x:v>I</x:v>
      </x:c>
      <x:c r="N5" s="64" t="str">
        <x:v>I</x:v>
      </x:c>
    </x:row>
    <x:row r="6">
      <x:c r="A6" s="63" t="str">
        <x:v>数据标准与术语发布</x:v>
      </x:c>
      <x:c r="B6" s="60" t="str">
        <x:v>I</x:v>
      </x:c>
      <x:c r="C6" s="60" t="str">
        <x:v>A</x:v>
      </x:c>
      <x:c r="D6" s="60" t="str">
        <x:v>R</x:v>
      </x:c>
      <x:c r="E6" s="60" t="str">
        <x:v>C</x:v>
      </x:c>
      <x:c r="F6" s="60" t="str">
        <x:v>C</x:v>
      </x:c>
      <x:c r="G6" s="60" t="str">
        <x:v>C</x:v>
      </x:c>
      <x:c r="H6" s="60" t="str">
        <x:v>C</x:v>
      </x:c>
      <x:c r="I6" s="60" t="str">
        <x:v>C</x:v>
      </x:c>
      <x:c r="J6" s="60" t="str">
        <x:v>C</x:v>
      </x:c>
      <x:c r="K6" s="60" t="str">
        <x:v>C</x:v>
      </x:c>
      <x:c r="L6" s="60" t="str">
        <x:v>I</x:v>
      </x:c>
      <x:c r="M6" s="60" t="str">
        <x:v>I</x:v>
      </x:c>
      <x:c r="N6" s="64" t="str">
        <x:v>C</x:v>
      </x:c>
    </x:row>
    <x:row r="7">
      <x:c r="A7" s="63" t="str">
        <x:v>患者EMPI规则与仲裁</x:v>
      </x:c>
      <x:c r="B7" s="60" t="str">
        <x:v>I</x:v>
      </x:c>
      <x:c r="C7" s="60" t="str">
        <x:v>A</x:v>
      </x:c>
      <x:c r="D7" s="60" t="str">
        <x:v>R</x:v>
      </x:c>
      <x:c r="E7" s="60" t="str">
        <x:v>C</x:v>
      </x:c>
      <x:c r="F7" s="60" t="str">
        <x:v>I</x:v>
      </x:c>
      <x:c r="G7" s="60" t="str">
        <x:v>R</x:v>
      </x:c>
      <x:c r="H7" s="60" t="str">
        <x:v>I</x:v>
      </x:c>
      <x:c r="I7" s="60" t="str">
        <x:v>C</x:v>
      </x:c>
      <x:c r="J7" s="60" t="str">
        <x:v>I</x:v>
      </x:c>
      <x:c r="K7" s="60" t="str">
        <x:v>I</x:v>
      </x:c>
      <x:c r="L7" s="60" t="str">
        <x:v>C</x:v>
      </x:c>
      <x:c r="M7" s="60" t="str">
        <x:v>I</x:v>
      </x:c>
      <x:c r="N7" s="64" t="str">
        <x:v>C</x:v>
      </x:c>
    </x:row>
    <x:row r="8">
      <x:c r="A8" s="63" t="str">
        <x:v>组织人员主数据</x:v>
      </x:c>
      <x:c r="B8" s="60" t="str">
        <x:v>I</x:v>
      </x:c>
      <x:c r="C8" s="60" t="str">
        <x:v>C</x:v>
      </x:c>
      <x:c r="D8" s="60" t="str">
        <x:v>R</x:v>
      </x:c>
      <x:c r="E8" s="60" t="str">
        <x:v>C</x:v>
      </x:c>
      <x:c r="F8" s="60" t="str">
        <x:v>C</x:v>
      </x:c>
      <x:c r="G8" s="60" t="str">
        <x:v>I</x:v>
      </x:c>
      <x:c r="H8" s="60" t="str">
        <x:v>I</x:v>
      </x:c>
      <x:c r="I8" s="60" t="str">
        <x:v>I</x:v>
      </x:c>
      <x:c r="J8" s="60" t="str">
        <x:v>A</x:v>
      </x:c>
      <x:c r="K8" s="60" t="str">
        <x:v>I</x:v>
      </x:c>
      <x:c r="L8" s="60" t="str">
        <x:v>C</x:v>
      </x:c>
      <x:c r="M8" s="60" t="str">
        <x:v>I</x:v>
      </x:c>
      <x:c r="N8" s="64" t="str">
        <x:v>C</x:v>
      </x:c>
    </x:row>
    <x:row r="9">
      <x:c r="A9" s="63" t="str">
        <x:v>药品收费耗材主数据</x:v>
      </x:c>
      <x:c r="B9" s="60" t="str">
        <x:v>I</x:v>
      </x:c>
      <x:c r="C9" s="60" t="str">
        <x:v>C</x:v>
      </x:c>
      <x:c r="D9" s="60" t="str">
        <x:v>R</x:v>
      </x:c>
      <x:c r="E9" s="60" t="str">
        <x:v>C</x:v>
      </x:c>
      <x:c r="F9" s="60" t="str">
        <x:v>I</x:v>
      </x:c>
      <x:c r="G9" s="60" t="str">
        <x:v>I</x:v>
      </x:c>
      <x:c r="H9" s="60" t="str">
        <x:v>A</x:v>
      </x:c>
      <x:c r="I9" s="60" t="str">
        <x:v>I</x:v>
      </x:c>
      <x:c r="J9" s="60" t="str">
        <x:v>I</x:v>
      </x:c>
      <x:c r="K9" s="60" t="str">
        <x:v>A</x:v>
      </x:c>
      <x:c r="L9" s="60" t="str">
        <x:v>C</x:v>
      </x:c>
      <x:c r="M9" s="60" t="str">
        <x:v>I</x:v>
      </x:c>
      <x:c r="N9" s="64" t="str">
        <x:v>C</x:v>
      </x:c>
    </x:row>
    <x:row r="10">
      <x:c r="A10" s="63" t="str">
        <x:v>CDR与共享文档模型</x:v>
      </x:c>
      <x:c r="B10" s="60" t="str">
        <x:v>I</x:v>
      </x:c>
      <x:c r="C10" s="60" t="str">
        <x:v>C</x:v>
      </x:c>
      <x:c r="D10" s="60" t="str">
        <x:v>A/R</x:v>
      </x:c>
      <x:c r="E10" s="60" t="str">
        <x:v>R</x:v>
      </x:c>
      <x:c r="F10" s="60" t="str">
        <x:v>C</x:v>
      </x:c>
      <x:c r="G10" s="60" t="str">
        <x:v>C</x:v>
      </x:c>
      <x:c r="H10" s="60" t="str">
        <x:v>C</x:v>
      </x:c>
      <x:c r="I10" s="60" t="str">
        <x:v>C</x:v>
      </x:c>
      <x:c r="J10" s="60" t="str">
        <x:v>I</x:v>
      </x:c>
      <x:c r="K10" s="60" t="str">
        <x:v>I</x:v>
      </x:c>
      <x:c r="L10" s="60" t="str">
        <x:v>C</x:v>
      </x:c>
      <x:c r="M10" s="60" t="str">
        <x:v>C</x:v>
      </x:c>
      <x:c r="N10" s="64" t="str">
        <x:v>R</x:v>
      </x:c>
    </x:row>
    <x:row r="11">
      <x:c r="A11" s="63" t="str">
        <x:v>质量规则与问题闭环</x:v>
      </x:c>
      <x:c r="B11" s="60" t="str">
        <x:v>I</x:v>
      </x:c>
      <x:c r="C11" s="60" t="str">
        <x:v>A</x:v>
      </x:c>
      <x:c r="D11" s="60" t="str">
        <x:v>R</x:v>
      </x:c>
      <x:c r="E11" s="60" t="str">
        <x:v>R</x:v>
      </x:c>
      <x:c r="F11" s="60" t="str">
        <x:v>R</x:v>
      </x:c>
      <x:c r="G11" s="60" t="str">
        <x:v>R</x:v>
      </x:c>
      <x:c r="H11" s="60" t="str">
        <x:v>R</x:v>
      </x:c>
      <x:c r="I11" s="60" t="str">
        <x:v>R</x:v>
      </x:c>
      <x:c r="J11" s="60" t="str">
        <x:v>R</x:v>
      </x:c>
      <x:c r="K11" s="60" t="str">
        <x:v>R</x:v>
      </x:c>
      <x:c r="L11" s="60" t="str">
        <x:v>C</x:v>
      </x:c>
      <x:c r="M11" s="60" t="str">
        <x:v>C</x:v>
      </x:c>
      <x:c r="N11" s="64" t="str">
        <x:v>C</x:v>
      </x:c>
    </x:row>
    <x:row r="12">
      <x:c r="A12" s="63" t="str">
        <x:v>接口与数据服务发布</x:v>
      </x:c>
      <x:c r="B12" s="60" t="str">
        <x:v>I</x:v>
      </x:c>
      <x:c r="C12" s="60" t="str">
        <x:v>C</x:v>
      </x:c>
      <x:c r="D12" s="60" t="str">
        <x:v>A/R</x:v>
      </x:c>
      <x:c r="E12" s="60" t="str">
        <x:v>C</x:v>
      </x:c>
      <x:c r="F12" s="60" t="str">
        <x:v>C</x:v>
      </x:c>
      <x:c r="G12" s="60" t="str">
        <x:v>C</x:v>
      </x:c>
      <x:c r="H12" s="60" t="str">
        <x:v>C</x:v>
      </x:c>
      <x:c r="I12" s="60" t="str">
        <x:v>C</x:v>
      </x:c>
      <x:c r="J12" s="60" t="str">
        <x:v>C</x:v>
      </x:c>
      <x:c r="K12" s="60" t="str">
        <x:v>C</x:v>
      </x:c>
      <x:c r="L12" s="60" t="str">
        <x:v>C</x:v>
      </x:c>
      <x:c r="M12" s="60" t="str">
        <x:v>C</x:v>
      </x:c>
      <x:c r="N12" s="64" t="str">
        <x:v>R</x:v>
      </x:c>
    </x:row>
    <x:row r="13">
      <x:c r="A13" s="63" t="str">
        <x:v>临床闭环与CDSS</x:v>
      </x:c>
      <x:c r="B13" s="60" t="str">
        <x:v>I</x:v>
      </x:c>
      <x:c r="C13" s="60" t="str">
        <x:v>C</x:v>
      </x:c>
      <x:c r="D13" s="60" t="str">
        <x:v>R</x:v>
      </x:c>
      <x:c r="E13" s="60" t="str">
        <x:v>A/R</x:v>
      </x:c>
      <x:c r="F13" s="60" t="str">
        <x:v>R</x:v>
      </x:c>
      <x:c r="G13" s="60" t="str">
        <x:v>C</x:v>
      </x:c>
      <x:c r="H13" s="60" t="str">
        <x:v>R</x:v>
      </x:c>
      <x:c r="I13" s="60" t="str">
        <x:v>R</x:v>
      </x:c>
      <x:c r="J13" s="60" t="str">
        <x:v>I</x:v>
      </x:c>
      <x:c r="K13" s="60" t="str">
        <x:v>I</x:v>
      </x:c>
      <x:c r="L13" s="60" t="str">
        <x:v>C</x:v>
      </x:c>
      <x:c r="M13" s="60" t="str">
        <x:v>C</x:v>
      </x:c>
      <x:c r="N13" s="64" t="str">
        <x:v>C</x:v>
      </x:c>
    </x:row>
    <x:row r="14">
      <x:c r="A14" s="63" t="str">
        <x:v>安全隐私导出审计</x:v>
      </x:c>
      <x:c r="B14" s="60" t="str">
        <x:v>I</x:v>
      </x:c>
      <x:c r="C14" s="60" t="str">
        <x:v>C</x:v>
      </x:c>
      <x:c r="D14" s="60" t="str">
        <x:v>R</x:v>
      </x:c>
      <x:c r="E14" s="60" t="str">
        <x:v>C</x:v>
      </x:c>
      <x:c r="F14" s="60" t="str">
        <x:v>C</x:v>
      </x:c>
      <x:c r="G14" s="60" t="str">
        <x:v>C</x:v>
      </x:c>
      <x:c r="H14" s="60" t="str">
        <x:v>C</x:v>
      </x:c>
      <x:c r="I14" s="60" t="str">
        <x:v>C</x:v>
      </x:c>
      <x:c r="J14" s="60" t="str">
        <x:v>C</x:v>
      </x:c>
      <x:c r="K14" s="60" t="str">
        <x:v>C</x:v>
      </x:c>
      <x:c r="L14" s="60" t="str">
        <x:v>A/R</x:v>
      </x:c>
      <x:c r="M14" s="60" t="str">
        <x:v>C</x:v>
      </x:c>
      <x:c r="N14" s="64" t="str">
        <x:v>C</x:v>
      </x:c>
    </x:row>
    <x:row r="15">
      <x:c r="A15" s="63" t="str">
        <x:v>五乙六级证据与模拟</x:v>
      </x:c>
      <x:c r="B15" s="60" t="str">
        <x:v>A</x:v>
      </x:c>
      <x:c r="C15" s="60" t="str">
        <x:v>R</x:v>
      </x:c>
      <x:c r="D15" s="60" t="str">
        <x:v>R</x:v>
      </x:c>
      <x:c r="E15" s="60" t="str">
        <x:v>R</x:v>
      </x:c>
      <x:c r="F15" s="60" t="str">
        <x:v>R</x:v>
      </x:c>
      <x:c r="G15" s="60" t="str">
        <x:v>R</x:v>
      </x:c>
      <x:c r="H15" s="60" t="str">
        <x:v>R</x:v>
      </x:c>
      <x:c r="I15" s="60" t="str">
        <x:v>R</x:v>
      </x:c>
      <x:c r="J15" s="60" t="str">
        <x:v>C</x:v>
      </x:c>
      <x:c r="K15" s="60" t="str">
        <x:v>C</x:v>
      </x:c>
      <x:c r="L15" s="60" t="str">
        <x:v>C</x:v>
      </x:c>
      <x:c r="M15" s="60" t="str">
        <x:v>C</x:v>
      </x:c>
      <x:c r="N15" s="64" t="str">
        <x:v>C</x:v>
      </x:c>
    </x:row>
    <x:row r="16">
      <x:c r="A16" s="65" t="str">
        <x:v>科研AI数据使用</x:v>
      </x:c>
      <x:c r="B16" s="66" t="str">
        <x:v>I</x:v>
      </x:c>
      <x:c r="C16" s="66" t="str">
        <x:v>C</x:v>
      </x:c>
      <x:c r="D16" s="66" t="str">
        <x:v>R</x:v>
      </x:c>
      <x:c r="E16" s="66" t="str">
        <x:v>C</x:v>
      </x:c>
      <x:c r="F16" s="66" t="str">
        <x:v>C</x:v>
      </x:c>
      <x:c r="G16" s="66" t="str">
        <x:v>C</x:v>
      </x:c>
      <x:c r="H16" s="66" t="str">
        <x:v>C</x:v>
      </x:c>
      <x:c r="I16" s="66" t="str">
        <x:v>C</x:v>
      </x:c>
      <x:c r="J16" s="66" t="str">
        <x:v>I</x:v>
      </x:c>
      <x:c r="K16" s="66" t="str">
        <x:v>I</x:v>
      </x:c>
      <x:c r="L16" s="66" t="str">
        <x:v>A/C</x:v>
      </x:c>
      <x:c r="M16" s="66" t="str">
        <x:v>A/R</x:v>
      </x:c>
      <x:c r="N16" s="67" t="str">
        <x:v>C</x:v>
      </x:c>
    </x:row>
  </x:sheetData>
  <x:mergeCells>
    <x:mergeCell ref="A1:N1"/>
    <x:mergeCell ref="A2:N2"/>
  </x:mergeCells>
  <x:conditionalFormatting sqref="B5:N16">
    <x:cfRule type="expression" dxfId="9" priority="1">
      <x:formula>B5="A"</x:formula>
    </x:cfRule>
    <x:cfRule type="expression" dxfId="10" priority="2">
      <x:formula>B5="R"</x:formula>
    </x:cfRule>
    <x:cfRule type="expression" dxfId="11" priority="3">
      <x:formula>B5="C"</x:formula>
    </x:cfRule>
    <x:cfRule type="expression" dxfId="12" priority="4">
      <x:formula>B5="I"</x:formula>
    </x:cfRule>
    <x:cfRule type="expression" dxfId="13" priority="5">
      <x:formula>B5="A/R"</x:formula>
    </x:cfRule>
    <x:cfRule type="expression" dxfId="14" priority="6">
      <x:formula>B5="A/C"</x:formula>
    </x:cfRule>
  </x:conditionalFormatting>
  <x:pageMargins left="0.7" right="0.7" top="0.75" bottom="0.75" header="0.3" footer="0.3"/>
  <x:tableParts count="1">
    <x:tablePart xmlns:r="http://schemas.openxmlformats.org/officeDocument/2006/relationships" r:id="R768bc24f9b5b4779"/>
  </x:tableParts>
</x:worksheet>
</file>

<file path=xl/worksheets/sheet5.xml><?xml version="1.0" encoding="utf-8"?>
<x:worksheet xmlns:x="http://schemas.openxmlformats.org/spreadsheetml/2006/main">
  <x:sheetFormatPr defaultRowHeight="15"/>
  <x:cols>
    <x:col min="1" max="1" width="12" hidden="0" customWidth="1"/>
    <x:col min="2" max="2" width="38" hidden="0" customWidth="1"/>
    <x:col min="3" max="3" width="16" hidden="0" customWidth="1"/>
    <x:col min="4" max="4" width="10" hidden="0" customWidth="1"/>
    <x:col min="5" max="5" width="10" hidden="0" customWidth="1"/>
    <x:col min="6" max="6" width="10" hidden="0" customWidth="1"/>
    <x:col min="7" max="7" width="58" hidden="0" customWidth="1"/>
    <x:col min="8" max="8" width="22" hidden="0" customWidth="1"/>
    <x:col min="9" max="9" width="30" hidden="0" customWidth="1"/>
    <x:col min="10" max="10" width="12" hidden="0" customWidth="1"/>
    <x:col min="11" max="11" width="14" hidden="0" customWidth="1"/>
    <x:col min="12" max="12" width="14" hidden="0" customWidth="1"/>
    <x:col min="13" max="13" width="34" hidden="0" customWidth="1"/>
  </x:cols>
  <x:sheetData>
    <x:row r="1" ht="30" customHeight="1">
      <x:c r="A1" s="5" t="str">
        <x:v>项目风险与医疗安全风险台账</x:v>
      </x:c>
      <x:c r="B1" s="5"/>
      <x:c r="C1" s="5"/>
      <x:c r="D1" s="5"/>
      <x:c r="E1" s="5"/>
      <x:c r="F1" s="5"/>
      <x:c r="G1" s="5"/>
      <x:c r="H1" s="5"/>
      <x:c r="I1" s="5"/>
      <x:c r="J1" s="5"/>
      <x:c r="K1" s="5"/>
      <x:c r="L1" s="5"/>
      <x:c r="M1" s="5"/>
    </x:row>
    <x:row r="2" ht="28" customHeight="1">
      <x:c r="A2" s="12" t="str">
        <x:v>患者误合并、临床规则、闭环断链、隐私泄露、证据缺失和下游补偿应视为重点风险。</x:v>
      </x:c>
      <x:c r="B2" s="12"/>
      <x:c r="C2" s="12"/>
      <x:c r="D2" s="12"/>
      <x:c r="E2" s="12"/>
      <x:c r="F2" s="12"/>
      <x:c r="G2" s="12"/>
      <x:c r="H2" s="12"/>
      <x:c r="I2" s="12"/>
      <x:c r="J2" s="12"/>
      <x:c r="K2" s="12"/>
      <x:c r="L2" s="12"/>
      <x:c r="M2" s="12"/>
    </x:row>
    <x:row r="4">
      <x:c r="A4" s="40" t="str">
        <x:v>编号</x:v>
      </x:c>
      <x:c r="B4" s="41" t="str">
        <x:v>风险</x:v>
      </x:c>
      <x:c r="C4" s="41" t="str">
        <x:v>类别</x:v>
      </x:c>
      <x:c r="D4" s="41" t="str">
        <x:v>概率</x:v>
      </x:c>
      <x:c r="E4" s="41" t="str">
        <x:v>影响</x:v>
      </x:c>
      <x:c r="F4" s="41" t="str">
        <x:v>等级</x:v>
      </x:c>
      <x:c r="G4" s="41" t="str">
        <x:v>应对措施</x:v>
      </x:c>
      <x:c r="H4" s="41" t="str">
        <x:v>Owner</x:v>
      </x:c>
      <x:c r="I4" s="41" t="str">
        <x:v>触发指标</x:v>
      </x:c>
      <x:c r="J4" s="41" t="str">
        <x:v>状态</x:v>
      </x:c>
      <x:c r="K4" s="41" t="str">
        <x:v>复核日期</x:v>
      </x:c>
      <x:c r="L4" s="41" t="str">
        <x:v>剩余风险</x:v>
      </x:c>
      <x:c r="M4" s="42" t="str">
        <x:v>证据链接</x:v>
      </x:c>
    </x:row>
    <x:row r="5">
      <x:c r="A5" s="63" t="str">
        <x:v>R01</x:v>
      </x:c>
      <x:c r="B5" s="60" t="str">
        <x:v>范围一次铺开导致失控</x:v>
      </x:c>
      <x:c r="C5" s="60" t="str">
        <x:v>范围</x:v>
      </x:c>
      <x:c r="D5" s="60" t="str">
        <x:v>高</x:v>
      </x:c>
      <x:c r="E5" s="60" t="str">
        <x:v>高</x:v>
      </x:c>
      <x:c r="F5" s="60" t="str">
        <x:v>高</x:v>
      </x:c>
      <x:c r="G5" s="60" t="str">
        <x:v>按优先级和阶段，重大新增进入变更委员会</x:v>
      </x:c>
      <x:c r="H5" s="60" t="str">
        <x:v>项目经理</x:v>
      </x:c>
      <x:c r="I5" s="60" t="str">
        <x:v>待定义</x:v>
      </x:c>
      <x:c r="J5" s="60" t="str">
        <x:v>开放</x:v>
      </x:c>
      <x:c r="K5" s="60" t="str"/>
      <x:c r="L5" s="60" t="str">
        <x:v>待评估</x:v>
      </x:c>
      <x:c r="M5" s="64" t="str"/>
    </x:row>
    <x:row r="6">
      <x:c r="A6" s="63" t="str">
        <x:v>R02</x:v>
      </x:c>
      <x:c r="B6" s="60" t="str">
        <x:v>接口连通被误认为治理完成</x:v>
      </x:c>
      <x:c r="C6" s="60" t="str">
        <x:v>架构</x:v>
      </x:c>
      <x:c r="D6" s="60" t="str">
        <x:v>高</x:v>
      </x:c>
      <x:c r="E6" s="60" t="str">
        <x:v>高</x:v>
      </x:c>
      <x:c r="F6" s="60" t="str">
        <x:v>高</x:v>
      </x:c>
      <x:c r="G6" s="60" t="str">
        <x:v>接口绑定契约、标准、Owner、质量、血缘和SLA</x:v>
      </x:c>
      <x:c r="H6" s="60" t="str">
        <x:v>数据架构师</x:v>
      </x:c>
      <x:c r="I6" s="60" t="str">
        <x:v>待定义</x:v>
      </x:c>
      <x:c r="J6" s="60" t="str">
        <x:v>开放</x:v>
      </x:c>
      <x:c r="K6" s="60" t="str"/>
      <x:c r="L6" s="60" t="str">
        <x:v>待评估</x:v>
      </x:c>
      <x:c r="M6" s="64" t="str"/>
    </x:row>
    <x:row r="7">
      <x:c r="A7" s="63" t="str">
        <x:v>R03</x:v>
      </x:c>
      <x:c r="B7" s="60" t="str">
        <x:v>患者错误合并传播</x:v>
      </x:c>
      <x:c r="C7" s="60" t="str">
        <x:v>患者安全</x:v>
      </x:c>
      <x:c r="D7" s="60" t="str">
        <x:v>中</x:v>
      </x:c>
      <x:c r="E7" s="60" t="str">
        <x:v>极高</x:v>
      </x:c>
      <x:c r="F7" s="60" t="str">
        <x:v>极高</x:v>
      </x:c>
      <x:c r="G7" s="60" t="str">
        <x:v>双阈值、人工、四眼、事件、拆分和补偿</x:v>
      </x:c>
      <x:c r="H7" s="60" t="str">
        <x:v>EMPI负责人</x:v>
      </x:c>
      <x:c r="I7" s="60" t="str">
        <x:v>待定义</x:v>
      </x:c>
      <x:c r="J7" s="60" t="str">
        <x:v>开放</x:v>
      </x:c>
      <x:c r="K7" s="60" t="str"/>
      <x:c r="L7" s="60" t="str">
        <x:v>待评估</x:v>
      </x:c>
      <x:c r="M7" s="64" t="str"/>
    </x:row>
    <x:row r="8">
      <x:c r="A8" s="63" t="str">
        <x:v>R04</x:v>
      </x:c>
      <x:c r="B8" s="60" t="str">
        <x:v>业务科室不承担Owner</x:v>
      </x:c>
      <x:c r="C8" s="60" t="str">
        <x:v>组织</x:v>
      </x:c>
      <x:c r="D8" s="60" t="str">
        <x:v>高</x:v>
      </x:c>
      <x:c r="E8" s="60" t="str">
        <x:v>高</x:v>
      </x:c>
      <x:c r="F8" s="60" t="str">
        <x:v>高</x:v>
      </x:c>
      <x:c r="G8" s="60" t="str">
        <x:v>纳入职责绩效，规则必须业务批准</x:v>
      </x:c>
      <x:c r="H8" s="60" t="str">
        <x:v>治理办</x:v>
      </x:c>
      <x:c r="I8" s="60" t="str">
        <x:v>待定义</x:v>
      </x:c>
      <x:c r="J8" s="60" t="str">
        <x:v>开放</x:v>
      </x:c>
      <x:c r="K8" s="60" t="str"/>
      <x:c r="L8" s="60" t="str">
        <x:v>待评估</x:v>
      </x:c>
      <x:c r="M8" s="64" t="str"/>
    </x:row>
    <x:row r="9">
      <x:c r="A9" s="63" t="str">
        <x:v>R05</x:v>
      </x:c>
      <x:c r="B9" s="60" t="str">
        <x:v>标准导入后无人运营</x:v>
      </x:c>
      <x:c r="C9" s="60" t="str">
        <x:v>标准</x:v>
      </x:c>
      <x:c r="D9" s="60" t="str">
        <x:v>高</x:v>
      </x:c>
      <x:c r="E9" s="60" t="str">
        <x:v>中</x:v>
      </x:c>
      <x:c r="F9" s="60" t="str">
        <x:v>高</x:v>
      </x:c>
      <x:c r="G9" s="60" t="str">
        <x:v>版本、生效、订阅、影响分析和替代全流程</x:v>
      </x:c>
      <x:c r="H9" s="60" t="str">
        <x:v>标准负责人</x:v>
      </x:c>
      <x:c r="I9" s="60" t="str">
        <x:v>待定义</x:v>
      </x:c>
      <x:c r="J9" s="60" t="str">
        <x:v>开放</x:v>
      </x:c>
      <x:c r="K9" s="60" t="str"/>
      <x:c r="L9" s="60" t="str">
        <x:v>待评估</x:v>
      </x:c>
      <x:c r="M9" s="64" t="str"/>
    </x:row>
    <x:row r="10">
      <x:c r="A10" s="63" t="str">
        <x:v>R06</x:v>
      </x:c>
      <x:c r="B10" s="60" t="str">
        <x:v>历史科室人员药品被覆盖</x:v>
      </x:c>
      <x:c r="C10" s="60" t="str">
        <x:v>数据</x:v>
      </x:c>
      <x:c r="D10" s="60" t="str">
        <x:v>中</x:v>
      </x:c>
      <x:c r="E10" s="60" t="str">
        <x:v>高</x:v>
      </x:c>
      <x:c r="F10" s="60" t="str">
        <x:v>高</x:v>
      </x:c>
      <x:c r="G10" s="60" t="str">
        <x:v>SCD2有效期，禁止硬删除</x:v>
      </x:c>
      <x:c r="H10" s="60" t="str">
        <x:v>MDM架构师</x:v>
      </x:c>
      <x:c r="I10" s="60" t="str">
        <x:v>待定义</x:v>
      </x:c>
      <x:c r="J10" s="60" t="str">
        <x:v>开放</x:v>
      </x:c>
      <x:c r="K10" s="60" t="str"/>
      <x:c r="L10" s="60" t="str">
        <x:v>待评估</x:v>
      </x:c>
      <x:c r="M10" s="64" t="str"/>
    </x:row>
    <x:row r="11">
      <x:c r="A11" s="63" t="str">
        <x:v>R07</x:v>
      </x:c>
      <x:c r="B11" s="60" t="str">
        <x:v>临床规则未验证上线</x:v>
      </x:c>
      <x:c r="C11" s="60" t="str">
        <x:v>临床安全</x:v>
      </x:c>
      <x:c r="D11" s="60" t="str">
        <x:v>中</x:v>
      </x:c>
      <x:c r="E11" s="60" t="str">
        <x:v>极高</x:v>
      </x:c>
      <x:c r="F11" s="60" t="str">
        <x:v>极高</x:v>
      </x:c>
      <x:c r="G11" s="60" t="str">
        <x:v>依据、仿真、双人审批、灰度、监测、回滚</x:v>
      </x:c>
      <x:c r="H11" s="60" t="str">
        <x:v>CDSS负责人</x:v>
      </x:c>
      <x:c r="I11" s="60" t="str">
        <x:v>待定义</x:v>
      </x:c>
      <x:c r="J11" s="60" t="str">
        <x:v>开放</x:v>
      </x:c>
      <x:c r="K11" s="60" t="str"/>
      <x:c r="L11" s="60" t="str">
        <x:v>待评估</x:v>
      </x:c>
      <x:c r="M11" s="64" t="str"/>
    </x:row>
    <x:row r="12">
      <x:c r="A12" s="63" t="str">
        <x:v>R08</x:v>
      </x:c>
      <x:c r="B12" s="60" t="str">
        <x:v>闭环只有状态无责任SLA</x:v>
      </x:c>
      <x:c r="C12" s="60" t="str">
        <x:v>应用</x:v>
      </x:c>
      <x:c r="D12" s="60" t="str">
        <x:v>高</x:v>
      </x:c>
      <x:c r="E12" s="60" t="str">
        <x:v>高</x:v>
      </x:c>
      <x:c r="F12" s="60" t="str">
        <x:v>高</x:v>
      </x:c>
      <x:c r="G12" s="60" t="str">
        <x:v>状态机绑定责任、证据、超时、升级和结局</x:v>
      </x:c>
      <x:c r="H12" s="60" t="str">
        <x:v>临床流程负责人</x:v>
      </x:c>
      <x:c r="I12" s="60" t="str">
        <x:v>待定义</x:v>
      </x:c>
      <x:c r="J12" s="60" t="str">
        <x:v>开放</x:v>
      </x:c>
      <x:c r="K12" s="60" t="str"/>
      <x:c r="L12" s="60" t="str">
        <x:v>待评估</x:v>
      </x:c>
      <x:c r="M12" s="64" t="str"/>
    </x:row>
    <x:row r="13">
      <x:c r="A13" s="63" t="str">
        <x:v>R09</x:v>
      </x:c>
      <x:c r="B13" s="60" t="str">
        <x:v>全量实时化成本失控</x:v>
      </x:c>
      <x:c r="C13" s="60" t="str">
        <x:v>性能</x:v>
      </x:c>
      <x:c r="D13" s="60" t="str">
        <x:v>中</x:v>
      </x:c>
      <x:c r="E13" s="60" t="str">
        <x:v>高</x:v>
      </x:c>
      <x:c r="F13" s="60" t="str">
        <x:v>高</x:v>
      </x:c>
      <x:c r="G13" s="60" t="str">
        <x:v>按时效分级，CDC仅关键表，容量压测</x:v>
      </x:c>
      <x:c r="H13" s="60" t="str">
        <x:v>平台架构师</x:v>
      </x:c>
      <x:c r="I13" s="60" t="str">
        <x:v>待定义</x:v>
      </x:c>
      <x:c r="J13" s="60" t="str">
        <x:v>开放</x:v>
      </x:c>
      <x:c r="K13" s="60" t="str"/>
      <x:c r="L13" s="60" t="str">
        <x:v>待评估</x:v>
      </x:c>
      <x:c r="M13" s="64" t="str"/>
    </x:row>
    <x:row r="14">
      <x:c r="A14" s="63" t="str">
        <x:v>R10</x:v>
      </x:c>
      <x:c r="B14" s="60" t="str">
        <x:v>接口升级破坏下游</x:v>
      </x:c>
      <x:c r="C14" s="60" t="str">
        <x:v>集成</x:v>
      </x:c>
      <x:c r="D14" s="60" t="str">
        <x:v>中</x:v>
      </x:c>
      <x:c r="E14" s="60" t="str">
        <x:v>高</x:v>
      </x:c>
      <x:c r="F14" s="60" t="str">
        <x:v>高</x:v>
      </x:c>
      <x:c r="G14" s="60" t="str">
        <x:v>语义化版本、兼容期、契约测试和回退</x:v>
      </x:c>
      <x:c r="H14" s="60" t="str">
        <x:v>API平台主管</x:v>
      </x:c>
      <x:c r="I14" s="60" t="str">
        <x:v>待定义</x:v>
      </x:c>
      <x:c r="J14" s="60" t="str">
        <x:v>开放</x:v>
      </x:c>
      <x:c r="K14" s="60" t="str"/>
      <x:c r="L14" s="60" t="str">
        <x:v>待评估</x:v>
      </x:c>
      <x:c r="M14" s="64" t="str"/>
    </x:row>
    <x:row r="15">
      <x:c r="A15" s="63" t="str">
        <x:v>R11</x:v>
      </x:c>
      <x:c r="B15" s="60" t="str">
        <x:v>日志消息测试环境泄露</x:v>
      </x:c>
      <x:c r="C15" s="60" t="str">
        <x:v>安全</x:v>
      </x:c>
      <x:c r="D15" s="60" t="str">
        <x:v>中</x:v>
      </x:c>
      <x:c r="E15" s="60" t="str">
        <x:v>极高</x:v>
      </x:c>
      <x:c r="F15" s="60" t="str">
        <x:v>极高</x:v>
      </x:c>
      <x:c r="G15" s="60" t="str">
        <x:v>最小载荷、脱敏、合成数据、日志过滤、KMS</x:v>
      </x:c>
      <x:c r="H15" s="60" t="str">
        <x:v>网安负责人</x:v>
      </x:c>
      <x:c r="I15" s="60" t="str">
        <x:v>待定义</x:v>
      </x:c>
      <x:c r="J15" s="60" t="str">
        <x:v>开放</x:v>
      </x:c>
      <x:c r="K15" s="60" t="str"/>
      <x:c r="L15" s="60" t="str">
        <x:v>待评估</x:v>
      </x:c>
      <x:c r="M15" s="64" t="str"/>
    </x:row>
    <x:row r="16">
      <x:c r="A16" s="63" t="str">
        <x:v>R12</x:v>
      </x:c>
      <x:c r="B16" s="60" t="str">
        <x:v>评测前临时补证据</x:v>
      </x:c>
      <x:c r="C16" s="60" t="str">
        <x:v>评级</x:v>
      </x:c>
      <x:c r="D16" s="60" t="str">
        <x:v>高</x:v>
      </x:c>
      <x:c r="E16" s="60" t="str">
        <x:v>中</x:v>
      </x:c>
      <x:c r="F16" s="60" t="str">
        <x:v>高</x:v>
      </x:c>
      <x:c r="G16" s="60" t="str">
        <x:v>持续证据中心和月度审计</x:v>
      </x:c>
      <x:c r="H16" s="60" t="str">
        <x:v>评级办</x:v>
      </x:c>
      <x:c r="I16" s="60" t="str">
        <x:v>待定义</x:v>
      </x:c>
      <x:c r="J16" s="60" t="str">
        <x:v>开放</x:v>
      </x:c>
      <x:c r="K16" s="60" t="str"/>
      <x:c r="L16" s="60" t="str">
        <x:v>待评估</x:v>
      </x:c>
      <x:c r="M16" s="64" t="str"/>
    </x:row>
    <x:row r="17">
      <x:c r="A17" s="63" t="str">
        <x:v>R13</x:v>
      </x:c>
      <x:c r="B17" s="60" t="str">
        <x:v>开源组件过多无人维护</x:v>
      </x:c>
      <x:c r="C17" s="60" t="str">
        <x:v>运维</x:v>
      </x:c>
      <x:c r="D17" s="60" t="str">
        <x:v>中</x:v>
      </x:c>
      <x:c r="E17" s="60" t="str">
        <x:v>高</x:v>
      </x:c>
      <x:c r="F17" s="60" t="str">
        <x:v>高</x:v>
      </x:c>
      <x:c r="G17" s="60" t="str">
        <x:v>组件最小化、SLO、固定版本、SBOM和知识转移</x:v>
      </x:c>
      <x:c r="H17" s="60" t="str">
        <x:v>运维负责人</x:v>
      </x:c>
      <x:c r="I17" s="60" t="str">
        <x:v>待定义</x:v>
      </x:c>
      <x:c r="J17" s="60" t="str">
        <x:v>开放</x:v>
      </x:c>
      <x:c r="K17" s="60" t="str"/>
      <x:c r="L17" s="60" t="str">
        <x:v>待评估</x:v>
      </x:c>
      <x:c r="M17" s="64" t="str"/>
    </x:row>
    <x:row r="18">
      <x:c r="A18" s="63" t="str">
        <x:v>R14</x:v>
      </x:c>
      <x:c r="B18" s="60" t="str">
        <x:v>源系统厂商拒绝改造</x:v>
      </x:c>
      <x:c r="C18" s="60" t="str">
        <x:v>供应商</x:v>
      </x:c>
      <x:c r="D18" s="60" t="str">
        <x:v>高</x:v>
      </x:c>
      <x:c r="E18" s="60" t="str">
        <x:v>高</x:v>
      </x:c>
      <x:c r="F18" s="60" t="str">
        <x:v>高</x:v>
      </x:c>
      <x:c r="G18" s="60" t="str">
        <x:v>合同化接口数据权属；CDC/文件旁路；联合SLA</x:v>
      </x:c>
      <x:c r="H18" s="60" t="str">
        <x:v>采购/信息管理部</x:v>
      </x:c>
      <x:c r="I18" s="60" t="str">
        <x:v>待定义</x:v>
      </x:c>
      <x:c r="J18" s="60" t="str">
        <x:v>开放</x:v>
      </x:c>
      <x:c r="K18" s="60" t="str"/>
      <x:c r="L18" s="60" t="str">
        <x:v>待评估</x:v>
      </x:c>
      <x:c r="M18" s="64" t="str"/>
    </x:row>
    <x:row r="19">
      <x:c r="A19" s="63" t="str">
        <x:v>R15</x:v>
      </x:c>
      <x:c r="B19" s="60" t="str">
        <x:v>质量规则告警风暴</x:v>
      </x:c>
      <x:c r="C19" s="60" t="str">
        <x:v>质量</x:v>
      </x:c>
      <x:c r="D19" s="60" t="str">
        <x:v>高</x:v>
      </x:c>
      <x:c r="E19" s="60" t="str">
        <x:v>中</x:v>
      </x:c>
      <x:c r="F19" s="60" t="str">
        <x:v>高</x:v>
      </x:c>
      <x:c r="G19" s="60" t="str">
        <x:v>分级、基线、阈值校准、聚合降噪</x:v>
      </x:c>
      <x:c r="H19" s="60" t="str">
        <x:v>质量负责人</x:v>
      </x:c>
      <x:c r="I19" s="60" t="str">
        <x:v>待定义</x:v>
      </x:c>
      <x:c r="J19" s="60" t="str">
        <x:v>开放</x:v>
      </x:c>
      <x:c r="K19" s="60" t="str"/>
      <x:c r="L19" s="60" t="str">
        <x:v>待评估</x:v>
      </x:c>
      <x:c r="M19" s="64" t="str"/>
    </x:row>
    <x:row r="20">
      <x:c r="A20" s="65" t="str">
        <x:v>R16</x:v>
      </x:c>
      <x:c r="B20" s="66" t="str">
        <x:v>科研AI绕过治理拷生产数据</x:v>
      </x:c>
      <x:c r="C20" s="66" t="str">
        <x:v>合规</x:v>
      </x:c>
      <x:c r="D20" s="66" t="str">
        <x:v>中</x:v>
      </x:c>
      <x:c r="E20" s="66" t="str">
        <x:v>极高</x:v>
      </x:c>
      <x:c r="F20" s="66" t="str">
        <x:v>极高</x:v>
      </x:c>
      <x:c r="G20" s="66" t="str">
        <x:v>统一申请、去标识、安全沙箱、到期和销毁</x:v>
      </x:c>
      <x:c r="H20" s="66" t="str">
        <x:v>科研部/网安办</x:v>
      </x:c>
      <x:c r="I20" s="66" t="str">
        <x:v>待定义</x:v>
      </x:c>
      <x:c r="J20" s="66" t="str">
        <x:v>开放</x:v>
      </x:c>
      <x:c r="K20" s="66" t="str"/>
      <x:c r="L20" s="66" t="str">
        <x:v>待评估</x:v>
      </x:c>
      <x:c r="M20" s="67" t="str"/>
    </x:row>
  </x:sheetData>
  <x:mergeCells>
    <x:mergeCell ref="A1:M1"/>
    <x:mergeCell ref="A2:M2"/>
  </x:mergeCells>
  <x:conditionalFormatting sqref="J5:J20">
    <x:cfRule type="expression" dxfId="15" priority="1">
      <x:formula>J5="已完成"</x:formula>
    </x:cfRule>
    <x:cfRule type="expression" dxfId="16" priority="2">
      <x:formula>J5="进行中"</x:formula>
    </x:cfRule>
    <x:cfRule type="expression" dxfId="17" priority="3">
      <x:formula>J5="阻塞"</x:formula>
    </x:cfRule>
    <x:cfRule type="expression" dxfId="18" priority="4">
      <x:formula>J5="未开始"</x:formula>
    </x:cfRule>
  </x:conditionalFormatting>
  <x:conditionalFormatting sqref="F5:F20">
    <x:cfRule type="expression" dxfId="19" priority="5">
      <x:formula>OR(F5="高",F5="极高")</x:formula>
    </x:cfRule>
  </x:conditionalFormatting>
  <x:dataValidations count="1">
    <x:dataValidation type="list" sqref="J5:J20">
      <x:formula1>"开放,监控中,已缓解,关闭,接受"</x:formula1>
    </x:dataValidation>
  </x:dataValidations>
  <x:pageMargins left="0.7" right="0.7" top="0.75" bottom="0.75" header="0.3" footer="0.3"/>
  <x:tableParts count="1">
    <x:tablePart xmlns:r="http://schemas.openxmlformats.org/officeDocument/2006/relationships" r:id="R1ce03a768a2d4a32"/>
  </x:tableParts>
</x:worksheet>
</file>

<file path=xl/worksheets/sheet6.xml><?xml version="1.0" encoding="utf-8"?>
<x:worksheet xmlns:x="http://schemas.openxmlformats.org/spreadsheetml/2006/main">
  <x:sheetFormatPr defaultRowHeight="15"/>
  <x:cols>
    <x:col min="1" max="1" width="16" hidden="0" customWidth="1"/>
    <x:col min="2" max="2" width="24" hidden="0" customWidth="1"/>
    <x:col min="3" max="3" width="44" hidden="0" customWidth="1"/>
    <x:col min="4" max="4" width="48" hidden="0" customWidth="1"/>
    <x:col min="5" max="5" width="18" hidden="0" customWidth="1"/>
    <x:col min="6" max="6" width="10" hidden="0" customWidth="1"/>
    <x:col min="7" max="7" width="18" hidden="0" customWidth="1"/>
    <x:col min="8" max="8" width="12" hidden="0" customWidth="1"/>
    <x:col min="9" max="9" width="18" hidden="0" customWidth="1"/>
    <x:col min="10" max="10" width="14" hidden="0" customWidth="1"/>
    <x:col min="11" max="11" width="30" hidden="0" customWidth="1"/>
    <x:col min="12" max="12" width="18" hidden="0" customWidth="1"/>
    <x:col min="13" max="13" width="34" hidden="0" customWidth="1"/>
  </x:cols>
  <x:sheetData>
    <x:row r="1" ht="30" customHeight="1">
      <x:c r="A1" s="5" t="str">
        <x:v>功能、数据、接口、安全、性能、容灾和临床场景测试计划</x:v>
      </x:c>
      <x:c r="B1" s="5"/>
      <x:c r="C1" s="5"/>
      <x:c r="D1" s="5"/>
      <x:c r="E1" s="5"/>
      <x:c r="F1" s="5"/>
      <x:c r="G1" s="5"/>
      <x:c r="H1" s="5"/>
      <x:c r="I1" s="5"/>
      <x:c r="J1" s="5"/>
      <x:c r="K1" s="5"/>
      <x:c r="L1" s="5"/>
      <x:c r="M1" s="5"/>
    </x:row>
    <x:row r="2" ht="28" customHeight="1">
      <x:c r="A2" s="12" t="str">
        <x:v>测试计划与需求、模型、接口、规则、WBS和评测证据建立双向追踪。</x:v>
      </x:c>
      <x:c r="B2" s="12"/>
      <x:c r="C2" s="12"/>
      <x:c r="D2" s="12"/>
      <x:c r="E2" s="12"/>
      <x:c r="F2" s="12"/>
      <x:c r="G2" s="12"/>
      <x:c r="H2" s="12"/>
      <x:c r="I2" s="12"/>
      <x:c r="J2" s="12"/>
      <x:c r="K2" s="12"/>
      <x:c r="L2" s="12"/>
      <x:c r="M2" s="12"/>
    </x:row>
    <x:row r="4">
      <x:c r="A4" s="40" t="str">
        <x:v>用例编号</x:v>
      </x:c>
      <x:c r="B4" s="41" t="str">
        <x:v>场景</x:v>
      </x:c>
      <x:c r="C4" s="41" t="str">
        <x:v>步骤/前置</x:v>
      </x:c>
      <x:c r="D4" s="41" t="str">
        <x:v>预期结果</x:v>
      </x:c>
      <x:c r="E4" s="41" t="str">
        <x:v>模块</x:v>
      </x:c>
      <x:c r="F4" s="41" t="str">
        <x:v>优先级</x:v>
      </x:c>
      <x:c r="G4" s="41" t="str">
        <x:v>测试类型</x:v>
      </x:c>
      <x:c r="H4" s="41" t="str">
        <x:v>状态</x:v>
      </x:c>
      <x:c r="I4" s="41" t="str">
        <x:v>负责人</x:v>
      </x:c>
      <x:c r="J4" s="41" t="str">
        <x:v>计划日期</x:v>
      </x:c>
      <x:c r="K4" s="41" t="str">
        <x:v>实测结果</x:v>
      </x:c>
      <x:c r="L4" s="41" t="str">
        <x:v>缺陷编号</x:v>
      </x:c>
      <x:c r="M4" s="42" t="str">
        <x:v>证据链接</x:v>
      </x:c>
    </x:row>
    <x:row r="5">
      <x:c r="A5" s="63" t="str">
        <x:v>UAT-MPI-001</x:v>
      </x:c>
      <x:c r="B5" s="60" t="str">
        <x:v>同一患者跨系统自动关联</x:v>
      </x:c>
      <x:c r="C5" s="60" t="str">
        <x:v>构造身份证一致、姓名轻微差异记录</x:v>
      </x:c>
      <x:c r="D5" s="60" t="str">
        <x:v>同一企业患者ID，XREF和可解释分数完整</x:v>
      </x:c>
      <x:c r="E5" s="60" t="str">
        <x:v>EMPI</x:v>
      </x:c>
      <x:c r="F5" s="60" t="str">
        <x:v>P0</x:v>
      </x:c>
      <x:c r="G5" s="60" t="str">
        <x:v>功能/数据/安全</x:v>
      </x:c>
      <x:c r="H5" s="60" t="str">
        <x:v>未开始</x:v>
      </x:c>
      <x:c r="I5" s="60" t="str">
        <x:v>待指定</x:v>
      </x:c>
      <x:c r="J5" s="60" t="str"/>
      <x:c r="K5" s="60" t="str"/>
      <x:c r="L5" s="60" t="str"/>
      <x:c r="M5" s="64" t="str"/>
    </x:row>
    <x:row r="6">
      <x:c r="A6" s="63" t="str">
        <x:v>UAT-MPI-002</x:v>
      </x:c>
      <x:c r="B6" s="60" t="str">
        <x:v>疑似患者仲裁与拆分</x:v>
      </x:c>
      <x:c r="C6" s="60" t="str">
        <x:v>中间阈值审核后合并再拆分</x:v>
      </x:c>
      <x:c r="D6" s="60" t="str">
        <x:v>审批、快照、审计、补偿事件完整</x:v>
      </x:c>
      <x:c r="E6" s="60" t="str">
        <x:v>EMPI</x:v>
      </x:c>
      <x:c r="F6" s="60" t="str">
        <x:v>P0</x:v>
      </x:c>
      <x:c r="G6" s="60" t="str">
        <x:v>功能/数据/安全</x:v>
      </x:c>
      <x:c r="H6" s="60" t="str">
        <x:v>未开始</x:v>
      </x:c>
      <x:c r="I6" s="60" t="str">
        <x:v>待指定</x:v>
      </x:c>
      <x:c r="J6" s="60" t="str"/>
      <x:c r="K6" s="60" t="str"/>
      <x:c r="L6" s="60" t="str"/>
      <x:c r="M6" s="64" t="str"/>
    </x:row>
    <x:row r="7">
      <x:c r="A7" s="63" t="str">
        <x:v>UAT-STD-001</x:v>
      </x:c>
      <x:c r="B7" s="60" t="str">
        <x:v>值域版本发布订阅</x:v>
      </x:c>
      <x:c r="C7" s="60" t="str">
        <x:v>新增停用代码并发布</x:v>
      </x:c>
      <x:c r="D7" s="60" t="str">
        <x:v>影响分析、审批、事件、回执和回退完整</x:v>
      </x:c>
      <x:c r="E7" s="60" t="str">
        <x:v>标准术语</x:v>
      </x:c>
      <x:c r="F7" s="60" t="str">
        <x:v>P0</x:v>
      </x:c>
      <x:c r="G7" s="60" t="str">
        <x:v>功能/数据/安全</x:v>
      </x:c>
      <x:c r="H7" s="60" t="str">
        <x:v>未开始</x:v>
      </x:c>
      <x:c r="I7" s="60" t="str">
        <x:v>待指定</x:v>
      </x:c>
      <x:c r="J7" s="60" t="str"/>
      <x:c r="K7" s="60" t="str"/>
      <x:c r="L7" s="60" t="str"/>
      <x:c r="M7" s="64" t="str"/>
    </x:row>
    <x:row r="8">
      <x:c r="A8" s="63" t="str">
        <x:v>UAT-DQ-001</x:v>
      </x:c>
      <x:c r="B8" s="60" t="str">
        <x:v>质量门禁</x:v>
      </x:c>
      <x:c r="C8" s="60" t="str">
        <x:v>导入非法码或空Owner</x:v>
      </x:c>
      <x:c r="D8" s="60" t="str">
        <x:v>阻断发布、工单、复测关闭</x:v>
      </x:c>
      <x:c r="E8" s="60" t="str">
        <x:v>数据质量</x:v>
      </x:c>
      <x:c r="F8" s="60" t="str">
        <x:v>P0</x:v>
      </x:c>
      <x:c r="G8" s="60" t="str">
        <x:v>功能/数据/安全</x:v>
      </x:c>
      <x:c r="H8" s="60" t="str">
        <x:v>未开始</x:v>
      </x:c>
      <x:c r="I8" s="60" t="str">
        <x:v>待指定</x:v>
      </x:c>
      <x:c r="J8" s="60" t="str"/>
      <x:c r="K8" s="60" t="str"/>
      <x:c r="L8" s="60" t="str"/>
      <x:c r="M8" s="64" t="str"/>
    </x:row>
    <x:row r="9">
      <x:c r="A9" s="63" t="str">
        <x:v>UAT-CDR-001</x:v>
      </x:c>
      <x:c r="B9" s="60" t="str">
        <x:v>临床时间线一致</x:v>
      </x:c>
      <x:c r="C9" s="60" t="str">
        <x:v>加载一次住院诊断医嘱结果报告手术</x:v>
      </x:c>
      <x:c r="D9" s="60" t="str">
        <x:v>按患者就诊关联，源可追溯，无孤儿</x:v>
      </x:c>
      <x:c r="E9" s="60" t="str">
        <x:v>CDR</x:v>
      </x:c>
      <x:c r="F9" s="60" t="str">
        <x:v>P0</x:v>
      </x:c>
      <x:c r="G9" s="60" t="str">
        <x:v>功能/数据/安全</x:v>
      </x:c>
      <x:c r="H9" s="60" t="str">
        <x:v>未开始</x:v>
      </x:c>
      <x:c r="I9" s="60" t="str">
        <x:v>待指定</x:v>
      </x:c>
      <x:c r="J9" s="60" t="str"/>
      <x:c r="K9" s="60" t="str"/>
      <x:c r="L9" s="60" t="str"/>
      <x:c r="M9" s="64" t="str"/>
    </x:row>
    <x:row r="10">
      <x:c r="A10" s="63" t="str">
        <x:v>UAT-DOC-001</x:v>
      </x:c>
      <x:c r="B10" s="60" t="str">
        <x:v>共享文档校验</x:v>
      </x:c>
      <x:c r="C10" s="60" t="str">
        <x:v>生成出院小结和检验报告</x:v>
      </x:c>
      <x:c r="D10" s="60" t="str">
        <x:v>结构代码必填通过，可注册查询，版本签名完整</x:v>
      </x:c>
      <x:c r="E10" s="60" t="str">
        <x:v>共享文档</x:v>
      </x:c>
      <x:c r="F10" s="60" t="str">
        <x:v>P0</x:v>
      </x:c>
      <x:c r="G10" s="60" t="str">
        <x:v>功能/数据/安全</x:v>
      </x:c>
      <x:c r="H10" s="60" t="str">
        <x:v>未开始</x:v>
      </x:c>
      <x:c r="I10" s="60" t="str">
        <x:v>待指定</x:v>
      </x:c>
      <x:c r="J10" s="60" t="str"/>
      <x:c r="K10" s="60" t="str"/>
      <x:c r="L10" s="60" t="str"/>
      <x:c r="M10" s="64" t="str"/>
    </x:row>
    <x:row r="11">
      <x:c r="A11" s="63" t="str">
        <x:v>UAT-API-001</x:v>
      </x:c>
      <x:c r="B11" s="60" t="str">
        <x:v>鉴权幂等限流</x:v>
      </x:c>
      <x:c r="C11" s="60" t="str">
        <x:v>重复幂等键并越权查询</x:v>
      </x:c>
      <x:c r="D11" s="60" t="str">
        <x:v>不重复、越权拒绝审计、限流标准错误</x:v>
      </x:c>
      <x:c r="E11" s="60" t="str">
        <x:v>数据服务</x:v>
      </x:c>
      <x:c r="F11" s="60" t="str">
        <x:v>P0</x:v>
      </x:c>
      <x:c r="G11" s="60" t="str">
        <x:v>功能/数据/安全</x:v>
      </x:c>
      <x:c r="H11" s="60" t="str">
        <x:v>未开始</x:v>
      </x:c>
      <x:c r="I11" s="60" t="str">
        <x:v>待指定</x:v>
      </x:c>
      <x:c r="J11" s="60" t="str"/>
      <x:c r="K11" s="60" t="str"/>
      <x:c r="L11" s="60" t="str"/>
      <x:c r="M11" s="64" t="str"/>
    </x:row>
    <x:row r="12">
      <x:c r="A12" s="63" t="str">
        <x:v>UAT-EVT-001</x:v>
      </x:c>
      <x:c r="B12" s="60" t="str">
        <x:v>事件重试死信补发</x:v>
      </x:c>
      <x:c r="C12" s="60" t="str">
        <x:v>下游不可用后恢复</x:v>
      </x:c>
      <x:c r="D12" s="60" t="str">
        <x:v>至少一次、幂等、死信可见、补发审计</x:v>
      </x:c>
      <x:c r="E12" s="60" t="str">
        <x:v>事件总线</x:v>
      </x:c>
      <x:c r="F12" s="60" t="str">
        <x:v>P0</x:v>
      </x:c>
      <x:c r="G12" s="60" t="str">
        <x:v>功能/数据/安全</x:v>
      </x:c>
      <x:c r="H12" s="60" t="str">
        <x:v>未开始</x:v>
      </x:c>
      <x:c r="I12" s="60" t="str">
        <x:v>待指定</x:v>
      </x:c>
      <x:c r="J12" s="60" t="str"/>
      <x:c r="K12" s="60" t="str"/>
      <x:c r="L12" s="60" t="str"/>
      <x:c r="M12" s="64" t="str"/>
    </x:row>
    <x:row r="13">
      <x:c r="A13" s="63" t="str">
        <x:v>UAT-CL-001</x:v>
      </x:c>
      <x:c r="B13" s="60" t="str">
        <x:v>危急值闭环</x:v>
      </x:c>
      <x:c r="C13" s="60" t="str">
        <x:v>产生危急结果并确认处置复测</x:v>
      </x:c>
      <x:c r="D13" s="60" t="str">
        <x:v>状态机、超时升级、人员时间证据和指标完整</x:v>
      </x:c>
      <x:c r="E13" s="60" t="str">
        <x:v>临床闭环</x:v>
      </x:c>
      <x:c r="F13" s="60" t="str">
        <x:v>P0</x:v>
      </x:c>
      <x:c r="G13" s="60" t="str">
        <x:v>功能/数据/安全</x:v>
      </x:c>
      <x:c r="H13" s="60" t="str">
        <x:v>未开始</x:v>
      </x:c>
      <x:c r="I13" s="60" t="str">
        <x:v>待指定</x:v>
      </x:c>
      <x:c r="J13" s="60" t="str"/>
      <x:c r="K13" s="60" t="str"/>
      <x:c r="L13" s="60" t="str"/>
      <x:c r="M13" s="64" t="str"/>
    </x:row>
    <x:row r="14">
      <x:c r="A14" s="63" t="str">
        <x:v>UAT-CL-002</x:v>
      </x:c>
      <x:c r="B14" s="60" t="str">
        <x:v>给药五正确</x:v>
      </x:c>
      <x:c r="C14" s="60" t="str">
        <x:v>扫码并模拟错患者/错药</x:v>
      </x:c>
      <x:c r="D14" s="60" t="str">
        <x:v>错误拦截，正确生成执行和审计</x:v>
      </x:c>
      <x:c r="E14" s="60" t="str">
        <x:v>临床闭环</x:v>
      </x:c>
      <x:c r="F14" s="60" t="str">
        <x:v>P0</x:v>
      </x:c>
      <x:c r="G14" s="60" t="str">
        <x:v>功能/数据/安全</x:v>
      </x:c>
      <x:c r="H14" s="60" t="str">
        <x:v>未开始</x:v>
      </x:c>
      <x:c r="I14" s="60" t="str">
        <x:v>待指定</x:v>
      </x:c>
      <x:c r="J14" s="60" t="str"/>
      <x:c r="K14" s="60" t="str"/>
      <x:c r="L14" s="60" t="str"/>
      <x:c r="M14" s="64" t="str"/>
    </x:row>
    <x:row r="15">
      <x:c r="A15" s="63" t="str">
        <x:v>UAT-CDSS-001</x:v>
      </x:c>
      <x:c r="B15" s="60" t="str">
        <x:v>规则仿真灰度回滚</x:v>
      </x:c>
      <x:c r="C15" s="60" t="str">
        <x:v>肾功能用药规则影子运行后灰度</x:v>
      </x:c>
      <x:c r="D15" s="60" t="str">
        <x:v>版本、命中、采纳、效果和回滚可追踪</x:v>
      </x:c>
      <x:c r="E15" s="60" t="str">
        <x:v>CDSS</x:v>
      </x:c>
      <x:c r="F15" s="60" t="str">
        <x:v>P0</x:v>
      </x:c>
      <x:c r="G15" s="60" t="str">
        <x:v>功能/数据/安全</x:v>
      </x:c>
      <x:c r="H15" s="60" t="str">
        <x:v>未开始</x:v>
      </x:c>
      <x:c r="I15" s="60" t="str">
        <x:v>待指定</x:v>
      </x:c>
      <x:c r="J15" s="60" t="str"/>
      <x:c r="K15" s="60" t="str"/>
      <x:c r="L15" s="60" t="str"/>
      <x:c r="M15" s="64" t="str"/>
    </x:row>
    <x:row r="16">
      <x:c r="A16" s="63" t="str">
        <x:v>UAT-SEC-001</x:v>
      </x:c>
      <x:c r="B16" s="60" t="str">
        <x:v>敏感导出审批到期</x:v>
      </x:c>
      <x:c r="C16" s="60" t="str">
        <x:v>科研数据申请审批下载过期访问</x:v>
      </x:c>
      <x:c r="D16" s="60" t="str">
        <x:v>最小字段、去标识、水印、审计、到期拒绝</x:v>
      </x:c>
      <x:c r="E16" s="60" t="str">
        <x:v>安全</x:v>
      </x:c>
      <x:c r="F16" s="60" t="str">
        <x:v>P0</x:v>
      </x:c>
      <x:c r="G16" s="60" t="str">
        <x:v>功能/数据/安全</x:v>
      </x:c>
      <x:c r="H16" s="60" t="str">
        <x:v>未开始</x:v>
      </x:c>
      <x:c r="I16" s="60" t="str">
        <x:v>待指定</x:v>
      </x:c>
      <x:c r="J16" s="60" t="str"/>
      <x:c r="K16" s="60" t="str"/>
      <x:c r="L16" s="60" t="str"/>
      <x:c r="M16" s="64" t="str"/>
    </x:row>
    <x:row r="17">
      <x:c r="A17" s="63" t="str">
        <x:v>UAT-LIN-001</x:v>
      </x:c>
      <x:c r="B17" s="60" t="str">
        <x:v>变更影响分析</x:v>
      </x:c>
      <x:c r="C17" s="60" t="str">
        <x:v>拟停用检验项目代码</x:v>
      </x:c>
      <x:c r="D17" s="60" t="str">
        <x:v>列出源、接口、CDR、规则、报表、订阅</x:v>
      </x:c>
      <x:c r="E17" s="60" t="str">
        <x:v>血缘</x:v>
      </x:c>
      <x:c r="F17" s="60" t="str">
        <x:v>P1</x:v>
      </x:c>
      <x:c r="G17" s="60" t="str">
        <x:v>功能/数据/安全</x:v>
      </x:c>
      <x:c r="H17" s="60" t="str">
        <x:v>未开始</x:v>
      </x:c>
      <x:c r="I17" s="60" t="str">
        <x:v>待指定</x:v>
      </x:c>
      <x:c r="J17" s="60" t="str"/>
      <x:c r="K17" s="60" t="str"/>
      <x:c r="L17" s="60" t="str"/>
      <x:c r="M17" s="64" t="str"/>
    </x:row>
    <x:row r="18">
      <x:c r="A18" s="63" t="str">
        <x:v>UAT-DR-001</x:v>
      </x:c>
      <x:c r="B18" s="60" t="str">
        <x:v>容灾回滚</x:v>
      </x:c>
      <x:c r="C18" s="60" t="str">
        <x:v>模拟库故障、积压和错误版本</x:v>
      </x:c>
      <x:c r="D18" s="60" t="str">
        <x:v>RTO/RPO内恢复，无丢消息，版本可回滚</x:v>
      </x:c>
      <x:c r="E18" s="60" t="str">
        <x:v>运维</x:v>
      </x:c>
      <x:c r="F18" s="60" t="str">
        <x:v>P0</x:v>
      </x:c>
      <x:c r="G18" s="60" t="str">
        <x:v>功能/数据/安全</x:v>
      </x:c>
      <x:c r="H18" s="60" t="str">
        <x:v>未开始</x:v>
      </x:c>
      <x:c r="I18" s="60" t="str">
        <x:v>待指定</x:v>
      </x:c>
      <x:c r="J18" s="60" t="str"/>
      <x:c r="K18" s="60" t="str"/>
      <x:c r="L18" s="60" t="str"/>
      <x:c r="M18" s="64" t="str"/>
    </x:row>
    <x:row r="19">
      <x:c r="A19" s="65" t="str">
        <x:v>UAT-EVD-001</x:v>
      </x:c>
      <x:c r="B19" s="66" t="str">
        <x:v>证据可核验</x:v>
      </x:c>
      <x:c r="C19" s="66" t="str">
        <x:v>随机抽取条款</x:v>
      </x:c>
      <x:c r="D19" s="66" t="str">
        <x:v>关联运行数据、配置、测试、责任和哈希</x:v>
      </x:c>
      <x:c r="E19" s="66" t="str">
        <x:v>证据中心</x:v>
      </x:c>
      <x:c r="F19" s="66" t="str">
        <x:v>P0</x:v>
      </x:c>
      <x:c r="G19" s="66" t="str">
        <x:v>功能/数据/安全</x:v>
      </x:c>
      <x:c r="H19" s="66" t="str">
        <x:v>未开始</x:v>
      </x:c>
      <x:c r="I19" s="66" t="str">
        <x:v>待指定</x:v>
      </x:c>
      <x:c r="J19" s="66" t="str"/>
      <x:c r="K19" s="66" t="str"/>
      <x:c r="L19" s="66" t="str"/>
      <x:c r="M19" s="67" t="str"/>
    </x:row>
  </x:sheetData>
  <x:mergeCells>
    <x:mergeCell ref="A1:M1"/>
    <x:mergeCell ref="A2:M2"/>
  </x:mergeCells>
  <x:conditionalFormatting sqref="H5:H19">
    <x:cfRule type="expression" dxfId="20" priority="1">
      <x:formula>H5="已完成"</x:formula>
    </x:cfRule>
    <x:cfRule type="expression" dxfId="21" priority="2">
      <x:formula>H5="进行中"</x:formula>
    </x:cfRule>
    <x:cfRule type="expression" dxfId="22" priority="3">
      <x:formula>H5="阻塞"</x:formula>
    </x:cfRule>
    <x:cfRule type="expression" dxfId="23" priority="4">
      <x:formula>H5="未开始"</x:formula>
    </x:cfRule>
  </x:conditionalFormatting>
  <x:dataValidations count="1">
    <x:dataValidation type="list" sqref="H5:H19">
      <x:formula1>"未开始,执行中,通过,失败,阻塞,不适用"</x:formula1>
    </x:dataValidation>
  </x:dataValidations>
  <x:pageMargins left="0.7" right="0.7" top="0.75" bottom="0.75" header="0.3" footer="0.3"/>
  <x:tableParts count="1">
    <x:tablePart xmlns:r="http://schemas.openxmlformats.org/officeDocument/2006/relationships" r:id="R922de830c1074228"/>
  </x:tableParts>
</x:worksheet>
</file>

<file path=xl/worksheets/sheet7.xml><?xml version="1.0" encoding="utf-8"?>
<x:worksheet xmlns:x="http://schemas.openxmlformats.org/spreadsheetml/2006/main">
  <x:sheetFormatPr defaultRowHeight="15"/>
  <x:cols>
    <x:col min="1" max="1" width="10" hidden="0" customWidth="1"/>
    <x:col min="2" max="2" width="14" hidden="0" customWidth="1"/>
    <x:col min="3" max="3" width="42" hidden="0" customWidth="1"/>
    <x:col min="4" max="4" width="38" hidden="0" customWidth="1"/>
    <x:col min="5" max="5" width="24" hidden="0" customWidth="1"/>
    <x:col min="6" max="6" width="32" hidden="0" customWidth="1"/>
    <x:col min="7" max="7" width="32" hidden="0" customWidth="1"/>
    <x:col min="8" max="8" width="12" hidden="0" customWidth="1"/>
    <x:col min="9" max="9" width="34" hidden="0" customWidth="1"/>
  </x:cols>
  <x:sheetData>
    <x:row r="1" ht="30" customHeight="1">
      <x:c r="A1" s="5" t="str">
        <x:v>上线切换、值守与回退计划</x:v>
      </x:c>
      <x:c r="B1" s="5"/>
      <x:c r="C1" s="5"/>
      <x:c r="D1" s="5"/>
      <x:c r="E1" s="5"/>
      <x:c r="F1" s="5"/>
      <x:c r="G1" s="5"/>
      <x:c r="H1" s="5"/>
      <x:c r="I1" s="5"/>
    </x:row>
    <x:row r="2" ht="28" customHeight="1">
      <x:c r="A2" s="12" t="str">
        <x:v>详细操作参见同目录《上线切换与回退手册.md》。</x:v>
      </x:c>
      <x:c r="B2" s="12"/>
      <x:c r="C2" s="12"/>
      <x:c r="D2" s="12"/>
      <x:c r="E2" s="12"/>
      <x:c r="F2" s="12"/>
      <x:c r="G2" s="12"/>
      <x:c r="H2" s="12"/>
      <x:c r="I2" s="12"/>
    </x:row>
    <x:row r="4">
      <x:c r="A4" s="40" t="str">
        <x:v>序号</x:v>
      </x:c>
      <x:c r="B4" s="41" t="str">
        <x:v>时间窗口</x:v>
      </x:c>
      <x:c r="C4" s="41" t="str">
        <x:v>任务</x:v>
      </x:c>
      <x:c r="D4" s="41" t="str">
        <x:v>前置条件</x:v>
      </x:c>
      <x:c r="E4" s="41" t="str">
        <x:v>执行角色</x:v>
      </x:c>
      <x:c r="F4" s="41" t="str">
        <x:v>验证方式</x:v>
      </x:c>
      <x:c r="G4" s="41" t="str">
        <x:v>回退点</x:v>
      </x:c>
      <x:c r="H4" s="41" t="str">
        <x:v>状态</x:v>
      </x:c>
      <x:c r="I4" s="42" t="str">
        <x:v>证据</x:v>
      </x:c>
    </x:row>
    <x:row r="5">
      <x:c r="A5" s="63" t="n">
        <x:v>1</x:v>
      </x:c>
      <x:c r="B5" s="60" t="str">
        <x:v>T-30天</x:v>
      </x:c>
      <x:c r="C5" s="60" t="str">
        <x:v>冻结一期范围和接口/术语/模型基线</x:v>
      </x:c>
      <x:c r="D5" s="60" t="str">
        <x:v>变更委员会批准</x:v>
      </x:c>
      <x:c r="E5" s="60" t="str">
        <x:v>项目经理/架构师</x:v>
      </x:c>
      <x:c r="F5" s="60" t="str">
        <x:v>基线清单签字</x:v>
      </x:c>
      <x:c r="G5" s="60" t="str">
        <x:v>解除冻结</x:v>
      </x:c>
      <x:c r="H5" s="60" t="str">
        <x:v>未开始</x:v>
      </x:c>
      <x:c r="I5" s="64" t="str"/>
    </x:row>
    <x:row r="6">
      <x:c r="A6" s="63" t="n">
        <x:v>2</x:v>
      </x:c>
      <x:c r="B6" s="60" t="str">
        <x:v>T-14天</x:v>
      </x:c>
      <x:c r="C6" s="60" t="str">
        <x:v>全链路、容灾和临床场景演练</x:v>
      </x:c>
      <x:c r="D6" s="60" t="str">
        <x:v>测试环境与仿真数据就绪</x:v>
      </x:c>
      <x:c r="E6" s="60" t="str">
        <x:v>技术/业务/安全</x:v>
      </x:c>
      <x:c r="F6" s="60" t="str">
        <x:v>演练报告</x:v>
      </x:c>
      <x:c r="G6" s="60" t="str">
        <x:v>回到旧环境</x:v>
      </x:c>
      <x:c r="H6" s="60" t="str">
        <x:v>未开始</x:v>
      </x:c>
      <x:c r="I6" s="64" t="str"/>
    </x:row>
    <x:row r="7">
      <x:c r="A7" s="63" t="n">
        <x:v>3</x:v>
      </x:c>
      <x:c r="B7" s="60" t="str">
        <x:v>T-7天</x:v>
      </x:c>
      <x:c r="C7" s="60" t="str">
        <x:v>历史数据清洗、全量装载、增量追平</x:v>
      </x:c>
      <x:c r="D7" s="60" t="str">
        <x:v>P0质量问题关闭</x:v>
      </x:c>
      <x:c r="E7" s="60" t="str">
        <x:v>数据工程/数据管家</x:v>
      </x:c>
      <x:c r="F7" s="60" t="str">
        <x:v>对账/质量报表</x:v>
      </x:c>
      <x:c r="G7" s="60" t="str">
        <x:v>恢复装载前快照</x:v>
      </x:c>
      <x:c r="H7" s="60" t="str">
        <x:v>未开始</x:v>
      </x:c>
      <x:c r="I7" s="64" t="str"/>
    </x:row>
    <x:row r="8">
      <x:c r="A8" s="63" t="n">
        <x:v>4</x:v>
      </x:c>
      <x:c r="B8" s="60" t="str">
        <x:v>T-1天</x:v>
      </x:c>
      <x:c r="C8" s="60" t="str">
        <x:v>冻结非紧急变更、备份数据库/配置/规则</x:v>
      </x:c>
      <x:c r="D8" s="60" t="str">
        <x:v>上线审批完成</x:v>
      </x:c>
      <x:c r="E8" s="60" t="str">
        <x:v>DBA/运维/安全</x:v>
      </x:c>
      <x:c r="F8" s="60" t="str">
        <x:v>备份校验和恢复抽测</x:v>
      </x:c>
      <x:c r="G8" s="60" t="str">
        <x:v>恢复旧版本</x:v>
      </x:c>
      <x:c r="H8" s="60" t="str">
        <x:v>未开始</x:v>
      </x:c>
      <x:c r="I8" s="64" t="str"/>
    </x:row>
    <x:row r="9">
      <x:c r="A9" s="63" t="n">
        <x:v>5</x:v>
      </x:c>
      <x:c r="B9" s="60" t="str">
        <x:v>T0</x:v>
      </x:c>
      <x:c r="C9" s="60" t="str">
        <x:v>切换路由/Topic/服务/规则并执行冒烟</x:v>
      </x:c>
      <x:c r="D9" s="60" t="str">
        <x:v>值守人员到位</x:v>
      </x:c>
      <x:c r="E9" s="60" t="str">
        <x:v>平台/接口/业务</x:v>
      </x:c>
      <x:c r="F9" s="60" t="str">
        <x:v>关键业务清单</x:v>
      </x:c>
      <x:c r="G9" s="60" t="str">
        <x:v>切回旧路由/旧版本</x:v>
      </x:c>
      <x:c r="H9" s="60" t="str">
        <x:v>未开始</x:v>
      </x:c>
      <x:c r="I9" s="64" t="str"/>
    </x:row>
    <x:row r="10">
      <x:c r="A10" s="63" t="n">
        <x:v>6</x:v>
      </x:c>
      <x:c r="B10" s="60" t="str">
        <x:v>T+2小时</x:v>
      </x:c>
      <x:c r="C10" s="60" t="str">
        <x:v>数据、消息、闭环、权限和审计核验</x:v>
      </x:c>
      <x:c r="D10" s="60" t="str">
        <x:v>监控正常</x:v>
      </x:c>
      <x:c r="E10" s="60" t="str">
        <x:v>联合值守</x:v>
      </x:c>
      <x:c r="F10" s="60" t="str">
        <x:v>指标/日志/业务抽查</x:v>
      </x:c>
      <x:c r="G10" s="60" t="str">
        <x:v>启动回退</x:v>
      </x:c>
      <x:c r="H10" s="60" t="str">
        <x:v>未开始</x:v>
      </x:c>
      <x:c r="I10" s="64" t="str"/>
    </x:row>
    <x:row r="11">
      <x:c r="A11" s="63" t="n">
        <x:v>7</x:v>
      </x:c>
      <x:c r="B11" s="60" t="str">
        <x:v>T+24小时</x:v>
      </x:c>
      <x:c r="C11" s="60" t="str">
        <x:v>业务签字并解除冻结</x:v>
      </x:c>
      <x:c r="D11" s="60" t="str">
        <x:v>无P0/P1缺陷</x:v>
      </x:c>
      <x:c r="E11" s="60" t="str">
        <x:v>业务Owner/项目经理</x:v>
      </x:c>
      <x:c r="F11" s="60" t="str">
        <x:v>签字和证据归档</x:v>
      </x:c>
      <x:c r="G11" s="60" t="str">
        <x:v>延长观察</x:v>
      </x:c>
      <x:c r="H11" s="60" t="str">
        <x:v>未开始</x:v>
      </x:c>
      <x:c r="I11" s="64" t="str"/>
    </x:row>
    <x:row r="12">
      <x:c r="A12" s="65" t="n">
        <x:v>8</x:v>
      </x:c>
      <x:c r="B12" s="66" t="str">
        <x:v>T+90天</x:v>
      </x:c>
      <x:c r="C12" s="66" t="str">
        <x:v>稳定性复盘和二期路线确认</x:v>
      </x:c>
      <x:c r="D12" s="66" t="str">
        <x:v>KPI持续采集</x:v>
      </x:c>
      <x:c r="E12" s="66" t="str">
        <x:v>治理办</x:v>
      </x:c>
      <x:c r="F12" s="66" t="str">
        <x:v>复盘报告</x:v>
      </x:c>
      <x:c r="G12" s="66" t="str">
        <x:v>不适用</x:v>
      </x:c>
      <x:c r="H12" s="66" t="str">
        <x:v>未开始</x:v>
      </x:c>
      <x:c r="I12" s="67" t="str"/>
    </x:row>
  </x:sheetData>
  <x:mergeCells>
    <x:mergeCell ref="A1:I1"/>
    <x:mergeCell ref="A2:I2"/>
  </x:mergeCells>
  <x:conditionalFormatting sqref="H5:H12">
    <x:cfRule type="expression" dxfId="24" priority="1">
      <x:formula>H5="已完成"</x:formula>
    </x:cfRule>
    <x:cfRule type="expression" dxfId="25" priority="2">
      <x:formula>H5="进行中"</x:formula>
    </x:cfRule>
    <x:cfRule type="expression" dxfId="26" priority="3">
      <x:formula>H5="阻塞"</x:formula>
    </x:cfRule>
    <x:cfRule type="expression" dxfId="27" priority="4">
      <x:formula>H5="未开始"</x:formula>
    </x:cfRule>
  </x:conditionalFormatting>
  <x:dataValidations count="1">
    <x:dataValidation type="list" sqref="H5:H12">
      <x:formula1>"未开始,进行中,已完成,阻塞,取消"</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6" hidden="0" customWidth="1"/>
    <x:col min="3" max="3" width="46" hidden="0" customWidth="1"/>
    <x:col min="4" max="4" width="16" hidden="0" customWidth="1"/>
    <x:col min="5" max="5" width="18" hidden="0" customWidth="1"/>
    <x:col min="6" max="6" width="34" hidden="0" customWidth="1"/>
  </x:cols>
  <x:sheetData>
    <x:row r="1" ht="30" customHeight="1">
      <x:c r="A1" s="5" t="str">
        <x:v>建议项目组织与资源投入</x:v>
      </x:c>
      <x:c r="B1" s="5"/>
      <x:c r="C1" s="5"/>
      <x:c r="D1" s="5"/>
      <x:c r="E1" s="5"/>
      <x:c r="F1" s="5"/>
    </x:row>
    <x:row r="2" ht="28" customHeight="1">
      <x:c r="A2" s="12" t="str">
        <x:v>资源数量需按院区、系统数量、日均业务量、国产化环境和并行工作流调整。</x:v>
      </x:c>
      <x:c r="B2" s="12"/>
      <x:c r="C2" s="12"/>
      <x:c r="D2" s="12"/>
      <x:c r="E2" s="12"/>
      <x:c r="F2" s="12"/>
    </x:row>
    <x:row r="4">
      <x:c r="A4" s="40" t="str">
        <x:v>角色</x:v>
      </x:c>
      <x:c r="B4" s="41" t="str">
        <x:v>建议数量/投入</x:v>
      </x:c>
      <x:c r="C4" s="41" t="str">
        <x:v>主要职责</x:v>
      </x:c>
      <x:c r="D4" s="41" t="str">
        <x:v>关键阶段</x:v>
      </x:c>
      <x:c r="E4" s="41" t="str">
        <x:v>医院侧/供应商</x:v>
      </x:c>
      <x:c r="F4" s="42" t="str">
        <x:v>最低能力要求</x:v>
      </x:c>
    </x:row>
    <x:row r="5">
      <x:c r="A5" s="63" t="str">
        <x:v>项目总监/项目经理</x:v>
      </x:c>
      <x:c r="B5" s="60" t="str">
        <x:v>1-2人</x:v>
      </x:c>
      <x:c r="C5" s="60" t="str">
        <x:v>组合管理、范围、风险、里程碑、评测和供应商协调</x:v>
      </x:c>
      <x:c r="D5" s="60" t="str">
        <x:v>全周期</x:v>
      </x:c>
      <x:c r="E5" s="60" t="str">
        <x:v>联合</x:v>
      </x:c>
      <x:c r="F5" s="64" t="str">
        <x:v>大型医院平台项目</x:v>
      </x:c>
    </x:row>
    <x:row r="6">
      <x:c r="A6" s="63" t="str">
        <x:v>数据治理负责人</x:v>
      </x:c>
      <x:c r="B6" s="60" t="str">
        <x:v>1人</x:v>
      </x:c>
      <x:c r="C6" s="60" t="str">
        <x:v>制度、Owner、版本、质量、证据和运营</x:v>
      </x:c>
      <x:c r="D6" s="60" t="str">
        <x:v>全周期</x:v>
      </x:c>
      <x:c r="E6" s="60" t="str">
        <x:v>医院侧</x:v>
      </x:c>
      <x:c r="F6" s="64" t="str">
        <x:v>跨部门治理</x:v>
      </x:c>
    </x:row>
    <x:row r="7">
      <x:c r="A7" s="63" t="str">
        <x:v>数据/MDM架构师</x:v>
      </x:c>
      <x:c r="B7" s="60" t="str">
        <x:v>2人</x:v>
      </x:c>
      <x:c r="C7" s="60" t="str">
        <x:v>数据域、主键、黄金记录、CDR和服务模型</x:v>
      </x:c>
      <x:c r="D7" s="60" t="str">
        <x:v>P0-P3</x:v>
      </x:c>
      <x:c r="E7" s="60" t="str">
        <x:v>联合</x:v>
      </x:c>
      <x:c r="F7" s="64" t="str">
        <x:v>医疗模型/MDM</x:v>
      </x:c>
    </x:row>
    <x:row r="8">
      <x:c r="A8" s="63" t="str">
        <x:v>标准术语工程师</x:v>
      </x:c>
      <x:c r="B8" s="60" t="str">
        <x:v>2-3人</x:v>
      </x:c>
      <x:c r="C8" s="60" t="str">
        <x:v>数据元、值域、术语、映射、版本和影响分析</x:v>
      </x:c>
      <x:c r="D8" s="60" t="str">
        <x:v>P1-P4</x:v>
      </x:c>
      <x:c r="E8" s="60" t="str">
        <x:v>联合</x:v>
      </x:c>
      <x:c r="F8" s="64" t="str">
        <x:v>卫生信息标准</x:v>
      </x:c>
    </x:row>
    <x:row r="9">
      <x:c r="A9" s="63" t="str">
        <x:v>数据工程师</x:v>
      </x:c>
      <x:c r="B9" s="60" t="str">
        <x:v>4-8人</x:v>
      </x:c>
      <x:c r="C9" s="60" t="str">
        <x:v>采集、CDC、清洗、装载、对账和血缘</x:v>
      </x:c>
      <x:c r="D9" s="60" t="str">
        <x:v>P1-P4</x:v>
      </x:c>
      <x:c r="E9" s="60" t="str">
        <x:v>供应商为主</x:v>
      </x:c>
      <x:c r="F9" s="64" t="str">
        <x:v>Oracle/国产库/流批</x:v>
      </x:c>
    </x:row>
    <x:row r="10">
      <x:c r="A10" s="63" t="str">
        <x:v>后端/API工程师</x:v>
      </x:c>
      <x:c r="B10" s="60" t="str">
        <x:v>3-6人</x:v>
      </x:c>
      <x:c r="C10" s="60" t="str">
        <x:v>MDM/治理工作流、API、事件、证据服务</x:v>
      </x:c>
      <x:c r="D10" s="60" t="str">
        <x:v>P1-P4</x:v>
      </x:c>
      <x:c r="E10" s="60" t="str">
        <x:v>供应商为主</x:v>
      </x:c>
      <x:c r="F10" s="64" t="str">
        <x:v>微服务/可靠性</x:v>
      </x:c>
    </x:row>
    <x:row r="11">
      <x:c r="A11" s="63" t="str">
        <x:v>前端工程师</x:v>
      </x:c>
      <x:c r="B11" s="60" t="str">
        <x:v>2-3人</x:v>
      </x:c>
      <x:c r="C11" s="60" t="str">
        <x:v>治理工作台、审核、目录、质量和证据门户</x:v>
      </x:c>
      <x:c r="D11" s="60" t="str">
        <x:v>P1-P4</x:v>
      </x:c>
      <x:c r="E11" s="60" t="str">
        <x:v>供应商为主</x:v>
      </x:c>
      <x:c r="F11" s="64" t="str">
        <x:v>复杂业务工作台</x:v>
      </x:c>
    </x:row>
    <x:row r="12">
      <x:c r="A12" s="63" t="str">
        <x:v>测试/质量工程师</x:v>
      </x:c>
      <x:c r="B12" s="60" t="str">
        <x:v>3-5人</x:v>
      </x:c>
      <x:c r="C12" s="60" t="str">
        <x:v>功能、数据、接口、性能、安全、容灾和临床场景</x:v>
      </x:c>
      <x:c r="D12" s="60" t="str">
        <x:v>P1-P4</x:v>
      </x:c>
      <x:c r="E12" s="60" t="str">
        <x:v>联合</x:v>
      </x:c>
      <x:c r="F12" s="64" t="str">
        <x:v>医疗系统测试</x:v>
      </x:c>
    </x:row>
    <x:row r="13">
      <x:c r="A13" s="63" t="str">
        <x:v>安全与隐私</x:v>
      </x:c>
      <x:c r="B13" s="60" t="str">
        <x:v>1-2人</x:v>
      </x:c>
      <x:c r="C13" s="60" t="str">
        <x:v>分类分级、IAM、脱敏、导出、审计和影响评估</x:v>
      </x:c>
      <x:c r="D13" s="60" t="str">
        <x:v>全周期</x:v>
      </x:c>
      <x:c r="E13" s="60" t="str">
        <x:v>医院侧</x:v>
      </x:c>
      <x:c r="F13" s="64" t="str">
        <x:v>个保/数据安全/等保</x:v>
      </x:c>
    </x:row>
    <x:row r="14">
      <x:c r="A14" s="63" t="str">
        <x:v>临床流程/CDSS专家</x:v>
      </x:c>
      <x:c r="B14" s="60" t="str">
        <x:v>2-4人</x:v>
      </x:c>
      <x:c r="C14" s="60" t="str">
        <x:v>闭环、知识规则、临床安全和效果评估</x:v>
      </x:c>
      <x:c r="D14" s="60" t="str">
        <x:v>P2-P4</x:v>
      </x:c>
      <x:c r="E14" s="60" t="str">
        <x:v>医院侧主导</x:v>
      </x:c>
      <x:c r="F14" s="64" t="str">
        <x:v>临床+信息化</x:v>
      </x:c>
    </x:row>
    <x:row r="15">
      <x:c r="A15" s="63" t="str">
        <x:v>领域数据管家</x:v>
      </x:c>
      <x:c r="B15" s="60" t="str">
        <x:v>每域1-2名兼职</x:v>
      </x:c>
      <x:c r="C15" s="60" t="str">
        <x:v>定义、标准、质量、变更、问题和证据</x:v>
      </x:c>
      <x:c r="D15" s="60" t="str">
        <x:v>全周期</x:v>
      </x:c>
      <x:c r="E15" s="60" t="str">
        <x:v>医院侧</x:v>
      </x:c>
      <x:c r="F15" s="64" t="str">
        <x:v>业务骨干</x:v>
      </x:c>
    </x:row>
    <x:row r="16">
      <x:c r="A16" s="65" t="str">
        <x:v>运维/SRE/DBA</x:v>
      </x:c>
      <x:c r="B16" s="66" t="str">
        <x:v>3-5人</x:v>
      </x:c>
      <x:c r="C16" s="66" t="str">
        <x:v>K8s/中间件/数据库/可观测/容灾/版本</x:v>
      </x:c>
      <x:c r="D16" s="66" t="str">
        <x:v>P1-P4</x:v>
      </x:c>
      <x:c r="E16" s="66" t="str">
        <x:v>联合</x:v>
      </x:c>
      <x:c r="F16" s="67" t="str">
        <x:v>高可用与恢复</x:v>
      </x:c>
    </x:row>
  </x:sheetData>
  <x:mergeCells>
    <x:mergeCell ref="A1:F1"/>
    <x:mergeCell ref="A2:F2"/>
  </x:mergeCells>
  <x:pageMargins left="0.7" right="0.7" top="0.75" bottom="0.75" header="0.3" footer="0.3"/>
</x:worksheet>
</file>